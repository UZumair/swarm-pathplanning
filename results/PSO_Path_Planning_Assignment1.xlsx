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rameters" sheetId="2" state="visible" r:id="rId4"/>
    <sheet name="Grid" sheetId="3" state="visible" r:id="rId5"/>
    <sheet name="Path" sheetId="4" state="visible" r:id="rId6"/>
    <sheet name="Convergence" sheetId="5" state="visible" r:id="rId7"/>
    <sheet name="Commits" sheetId="6" state="visible" r:id="rId8"/>
    <sheet name="Checklist" sheetId="7" state="visible" r:id="rId9"/>
    <sheet name="Flow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<sst xmlns="http://schemas.openxmlformats.org/spreadsheetml/2006/main" count="256" uniqueCount="214">
  <si>
    <t xml:space="preserve">Swarm Intelligence Lab - Assignment 1: PSO Path Planning</t>
  </si>
  <si>
    <t xml:space="preserve">Total marks: 20 | Deadline: 05-Oct-2026 | Submit GitHub link to ahsanjaved5000@gmail.com | Subject: SI ASG1 - NAME - ROLLNO</t>
  </si>
  <si>
    <t xml:space="preserve">Item</t>
  </si>
  <si>
    <t xml:space="preserve">Value</t>
  </si>
  <si>
    <t xml:space="preserve">Notes</t>
  </si>
  <si>
    <t xml:space="preserve">Student name</t>
  </si>
  <si>
    <t xml:space="preserve">Edit on Parameters sheet</t>
  </si>
  <si>
    <t xml:space="preserve">Roll number</t>
  </si>
  <si>
    <t xml:space="preserve">Seed used</t>
  </si>
  <si>
    <t xml:space="preserve">random.seed(roll_number)</t>
  </si>
  <si>
    <t xml:space="preserve">Grid size</t>
  </si>
  <si>
    <t xml:space="preserve">Obstacle cells generated</t>
  </si>
  <si>
    <t xml:space="preserve">Actual blocked cells after seeding</t>
  </si>
  <si>
    <t xml:space="preserve">Actual obstacle density</t>
  </si>
  <si>
    <t xml:space="preserve">Start x</t>
  </si>
  <si>
    <t xml:space="preserve">Cell coordinates (x = column, y = row)</t>
  </si>
  <si>
    <t xml:space="preserve">Start y</t>
  </si>
  <si>
    <t xml:space="preserve">Goal x</t>
  </si>
  <si>
    <t xml:space="preserve">Goal y</t>
  </si>
  <si>
    <t xml:space="preserve">Straight-line distance (centre to centre)</t>
  </si>
  <si>
    <t xml:space="preserve">Lower bound ignoring obstacles</t>
  </si>
  <si>
    <t xml:space="preserve">Best PSO path length</t>
  </si>
  <si>
    <t xml:space="preserve">Sum of segment lengths (Path sheet)</t>
  </si>
  <si>
    <t xml:space="preserve">Collisions in best path</t>
  </si>
  <si>
    <t xml:space="preserve">From run output; 0 = obstacle-free</t>
  </si>
  <si>
    <t xml:space="preserve">Feasibility</t>
  </si>
  <si>
    <t xml:space="preserve">BFS grid-optimal steps (4-connected)</t>
  </si>
  <si>
    <t xml:space="preserve">Baseline from run output</t>
  </si>
  <si>
    <t xml:space="preserve">PSO shorter than BFS by</t>
  </si>
  <si>
    <t xml:space="preserve">PSO moves in continuous space incl. diagonals</t>
  </si>
  <si>
    <t xml:space="preserve">Path stretch vs straight line</t>
  </si>
  <si>
    <t xml:space="preserve">1.000 = perfectly straight</t>
  </si>
  <si>
    <t xml:space="preserve">Final best fitness</t>
  </si>
  <si>
    <t xml:space="preserve">Equals length when collisions = 0</t>
  </si>
  <si>
    <t xml:space="preserve">Swarm size x iterations</t>
  </si>
  <si>
    <t xml:space="preserve">Problem &amp; PSO Parameters</t>
  </si>
  <si>
    <t xml:space="preserve">Blue = editable input (matches pso_path_planning.py). Black = formula. Change inputs and derived values update.</t>
  </si>
  <si>
    <t xml:space="preserve">Parameter</t>
  </si>
  <si>
    <t xml:space="preserve">Your Name</t>
  </si>
  <si>
    <t xml:space="preserve">Replace with your name (matches STUDENT_NAME in code)</t>
  </si>
  <si>
    <t xml:space="preserve">Roll number = random SEED</t>
  </si>
  <si>
    <t xml:space="preserve">Placeholder roll number used for the demo run; replace with yours</t>
  </si>
  <si>
    <t xml:space="preserve">Grid size N (N x N)</t>
  </si>
  <si>
    <t xml:space="preserve">GRID_SIZE in code</t>
  </si>
  <si>
    <t xml:space="preserve">Obstacle density</t>
  </si>
  <si>
    <t xml:space="preserve">Fraction of random obstacle draws; OBSTACLE_DENSITY in code</t>
  </si>
  <si>
    <t xml:space="preserve">Waypoints per path</t>
  </si>
  <si>
    <t xml:space="preserve">N_WAYPOINTS; each particle = (x,y) per waypoint</t>
  </si>
  <si>
    <t xml:space="preserve">Particles (swarm size)</t>
  </si>
  <si>
    <t xml:space="preserve">N_PARTICLES</t>
  </si>
  <si>
    <t xml:space="preserve">Iterations</t>
  </si>
  <si>
    <t xml:space="preserve">N_ITERATIONS</t>
  </si>
  <si>
    <t xml:space="preserve">Inertia weight w (start)</t>
  </si>
  <si>
    <t xml:space="preserve">Decreases linearly to w (end)</t>
  </si>
  <si>
    <t xml:space="preserve">Inertia weight w (end)</t>
  </si>
  <si>
    <t xml:space="preserve">Cognitive coeff c1</t>
  </si>
  <si>
    <t xml:space="preserve">Pull toward personal best</t>
  </si>
  <si>
    <t xml:space="preserve">Social coeff c2</t>
  </si>
  <si>
    <t xml:space="preserve">Pull toward global best</t>
  </si>
  <si>
    <t xml:space="preserve">Collision penalty</t>
  </si>
  <si>
    <t xml:space="preserve">Cost added per sampled point inside an obstacle</t>
  </si>
  <si>
    <t xml:space="preserve">Sample step (grid units)</t>
  </si>
  <si>
    <t xml:space="preserve">Resolution of collision checking along each segment</t>
  </si>
  <si>
    <t xml:space="preserve">Max independent restarts</t>
  </si>
  <si>
    <t xml:space="preserve">PSO runs (seeded seed+k); stops early once feasible after &gt;=2 runs</t>
  </si>
  <si>
    <t xml:space="preserve">Derived values (formulas)</t>
  </si>
  <si>
    <t xml:space="preserve">Cells in grid</t>
  </si>
  <si>
    <t xml:space="preserve">N x N</t>
  </si>
  <si>
    <t xml:space="preserve">Random obstacle draws</t>
  </si>
  <si>
    <t xml:space="preserve">Draws can overlap, so actual obstacles &lt;= this (see Grid sheet)</t>
  </si>
  <si>
    <t xml:space="preserve">PSO search dimension</t>
  </si>
  <si>
    <t xml:space="preserve">2 coordinates per waypoint</t>
  </si>
  <si>
    <t xml:space="preserve">Fitness evaluations per run</t>
  </si>
  <si>
    <t xml:space="preserve">Particles x (iterations + initial evaluation)</t>
  </si>
  <si>
    <t xml:space="preserve">Max fitness evaluations (all restarts)</t>
  </si>
  <si>
    <t xml:space="preserve">Upper bound if all restarts are used</t>
  </si>
  <si>
    <t xml:space="preserve">Velocity limit (vmax)</t>
  </si>
  <si>
    <t xml:space="preserve">20% of grid size, as in code</t>
  </si>
  <si>
    <t xml:space="preserve">Inertia decay per iteration</t>
  </si>
  <si>
    <t xml:space="preserve">Linear schedule step</t>
  </si>
  <si>
    <t xml:space="preserve">Generated Grid (seed = 12345)</t>
  </si>
  <si>
    <t xml:space="preserve">Black = obstacle (1), S = start (green), G = goal (gold). Row labels = y, column labels = x. Generated by generate_problem(seed).</t>
  </si>
  <si>
    <t xml:space="preserve">y \ x</t>
  </si>
  <si>
    <t xml:space="preserve">Grid statistics</t>
  </si>
  <si>
    <t xml:space="preserve">Obstacle cells</t>
  </si>
  <si>
    <t xml:space="preserve">Total cells</t>
  </si>
  <si>
    <t xml:space="preserve">G</t>
  </si>
  <si>
    <t xml:space="preserve">Free cells</t>
  </si>
  <si>
    <t xml:space="preserve">Start (x, y)</t>
  </si>
  <si>
    <t xml:space="preserve">(11, 5)</t>
  </si>
  <si>
    <t xml:space="preserve">Goal (x, y)</t>
  </si>
  <si>
    <t xml:space="preserve">(16, 16)</t>
  </si>
  <si>
    <t xml:space="preserve">S</t>
  </si>
  <si>
    <t xml:space="preserve">Best PSO Path - Waypoints</t>
  </si>
  <si>
    <t xml:space="preserve">Waypoints (blue) come from results/result.json. Segment lengths and total are formulas, so total re-checks the reported length.</t>
  </si>
  <si>
    <t xml:space="preserve">Point #</t>
  </si>
  <si>
    <t xml:space="preserve">x</t>
  </si>
  <si>
    <t xml:space="preserve">y</t>
  </si>
  <si>
    <t xml:space="preserve">Segment length</t>
  </si>
  <si>
    <t xml:space="preserve">Cumulative length</t>
  </si>
  <si>
    <t xml:space="preserve">Role</t>
  </si>
  <si>
    <t xml:space="preserve">Start (cell centre)</t>
  </si>
  <si>
    <t xml:space="preserve">Waypoint</t>
  </si>
  <si>
    <t xml:space="preserve">Goal (cell centre)</t>
  </si>
  <si>
    <t xml:space="preserve">Total path length</t>
  </si>
  <si>
    <t xml:space="preserve">Reported length (result.json)</t>
  </si>
  <si>
    <t xml:space="preserve">Check (difference &lt; 0.001)</t>
  </si>
  <si>
    <t xml:space="preserve">Longest segment</t>
  </si>
  <si>
    <t xml:space="preserve">Average segment</t>
  </si>
  <si>
    <t xml:space="preserve">PSO Convergence (best run: run 2, seed = seed + 1)</t>
  </si>
  <si>
    <t xml:space="preserve">Iteration</t>
  </si>
  <si>
    <t xml:space="preserve">Best fitness</t>
  </si>
  <si>
    <t xml:space="preserve">Statistic</t>
  </si>
  <si>
    <t xml:space="preserve">Initial best fitness (iter 0)</t>
  </si>
  <si>
    <t xml:space="preserve">Total improvement</t>
  </si>
  <si>
    <t xml:space="preserve">Improvement %</t>
  </si>
  <si>
    <t xml:space="preserve">First iteration reaching final value</t>
  </si>
  <si>
    <t xml:space="preserve">Iteration where fitness &lt; 100 (feasible)</t>
  </si>
  <si>
    <t xml:space="preserve">Per-run results (restarts)</t>
  </si>
  <si>
    <t xml:space="preserve">Run</t>
  </si>
  <si>
    <t xml:space="preserve">Final fitness</t>
  </si>
  <si>
    <t xml:space="preserve">Run 1</t>
  </si>
  <si>
    <t xml:space="preserve">Run 2</t>
  </si>
  <si>
    <t xml:space="preserve">Best of runs</t>
  </si>
  <si>
    <t xml:space="preserve">Source: console output in results/output.txt (run 1 value copied from it)</t>
  </si>
  <si>
    <t xml:space="preserve">Git Commit Plan (minimum 5 required)</t>
  </si>
  <si>
    <t xml:space="preserve">Created by make_git_history.sh. Set Status to Done as you complete each.</t>
  </si>
  <si>
    <t xml:space="preserve">#</t>
  </si>
  <si>
    <t xml:space="preserve">Commit message</t>
  </si>
  <si>
    <t xml:space="preserve">Files / scope</t>
  </si>
  <si>
    <t xml:space="preserve">Status</t>
  </si>
  <si>
    <t xml:space="preserve">Initial setup: README skeleton, requirements, .gitignore</t>
  </si>
  <si>
    <t xml:space="preserve">README.md, requirements.txt, .gitignore</t>
  </si>
  <si>
    <t xml:space="preserve">Pending</t>
  </si>
  <si>
    <t xml:space="preserve">Add seeded grid, obstacle, start/goal generation with BFS solvability check</t>
  </si>
  <si>
    <t xml:space="preserve">pso_path_planning.py (section 1)</t>
  </si>
  <si>
    <t xml:space="preserve">Add particle encoding (waypoints), collision checking and fitness function</t>
  </si>
  <si>
    <t xml:space="preserve">pso_path_planning.py (section 2)</t>
  </si>
  <si>
    <t xml:space="preserve">Implement PSO core: velocity/position update, pbest/gbest, inertia decay</t>
  </si>
  <si>
    <t xml:space="preserve">pso_path_planning.py (section 3)</t>
  </si>
  <si>
    <t xml:space="preserve">Add matplotlib visualisation, BFS baseline, CLI args and multi-restart</t>
  </si>
  <si>
    <t xml:space="preserve">pso_path_planning.py (final)</t>
  </si>
  <si>
    <t xml:space="preserve">Add results: final path plot, convergence curve, run output</t>
  </si>
  <si>
    <t xml:space="preserve">results/</t>
  </si>
  <si>
    <t xml:space="preserve">Add flow diagram guide and finalise README</t>
  </si>
  <si>
    <t xml:space="preserve">docs/, README.md</t>
  </si>
  <si>
    <t xml:space="preserve">Commits done</t>
  </si>
  <si>
    <t xml:space="preserve">Requirement met (&gt;= 5 commits)?</t>
  </si>
  <si>
    <t xml:space="preserve">Submission Requirements Checklist</t>
  </si>
  <si>
    <t xml:space="preserve">Yellow cells are for you to update. Pre-filled: Done = included in the zip; Pending = you must do it.</t>
  </si>
  <si>
    <t xml:space="preserve">Requirement</t>
  </si>
  <si>
    <t xml:space="preserve">Where / how</t>
  </si>
  <si>
    <t xml:space="preserve">Unique problem generated from roll-number seed (no hardcoding)</t>
  </si>
  <si>
    <t xml:space="preserve">Done</t>
  </si>
  <si>
    <t xml:space="preserve">generate_problem() in pso_path_planning.py</t>
  </si>
  <si>
    <t xml:space="preserve">Replace placeholder name &amp; roll number (code + README)</t>
  </si>
  <si>
    <t xml:space="preserve">STUDENT_NAME, ROLL_NUMBER; then re-run to regenerate results</t>
  </si>
  <si>
    <t xml:space="preserve">PSO finds short obstacle-free path</t>
  </si>
  <si>
    <t xml:space="preserve">Result: length 14.62, 0 collisions (seed 12345)</t>
  </si>
  <si>
    <t xml:space="preserve">Print best path and its length/cost</t>
  </si>
  <si>
    <t xml:space="preserve">results/output.txt</t>
  </si>
  <si>
    <t xml:space="preserve">Visualise grid, obstacles, start, goal, path</t>
  </si>
  <si>
    <t xml:space="preserve">results/final_path.png</t>
  </si>
  <si>
    <t xml:space="preserve">Convergence plot</t>
  </si>
  <si>
    <t xml:space="preserve">results/convergence.png</t>
  </si>
  <si>
    <t xml:space="preserve">README: name, roll no., seed</t>
  </si>
  <si>
    <t xml:space="preserve">Fill in your details in README.md</t>
  </si>
  <si>
    <t xml:space="preserve">README: approach description &amp; how to run</t>
  </si>
  <si>
    <t xml:space="preserve">README.md</t>
  </si>
  <si>
    <t xml:space="preserve">Hand-drawn flow diagram photo embedded in README</t>
  </si>
  <si>
    <t xml:space="preserve">Draw from docs/FLOW_DIAGRAM_GUIDE.md -&gt; docs/flow_diagram.jpg</t>
  </si>
  <si>
    <t xml:space="preserve">Public GitHub repo (swarm-pathplanning-rollno)</t>
  </si>
  <si>
    <t xml:space="preserve">Create on GitHub; push main</t>
  </si>
  <si>
    <t xml:space="preserve">Minimum 5 meaningful commits</t>
  </si>
  <si>
    <t xml:space="preserve">bash make_git_history.sh (7 commits) -&gt; see Commits sheet</t>
  </si>
  <si>
    <t xml:space="preserve">Email repo link, subject 'SI ASG1 - NAME - ROLLNO'</t>
  </si>
  <si>
    <t xml:space="preserve">To ahsanjaved5000@gmail.com before 05-Oct-2026</t>
  </si>
  <si>
    <t xml:space="preserve">Items done</t>
  </si>
  <si>
    <t xml:space="preserve">Completion</t>
  </si>
  <si>
    <t xml:space="preserve">Algorithm Flow (reference for your hand-drawn diagram)</t>
  </si>
  <si>
    <t xml:space="preserve">Step</t>
  </si>
  <si>
    <t xml:space="preserve">Type</t>
  </si>
  <si>
    <t xml:space="preserve">Description</t>
  </si>
  <si>
    <t xml:space="preserve">1. Start</t>
  </si>
  <si>
    <t xml:space="preserve">Terminator</t>
  </si>
  <si>
    <t xml:space="preserve">Begin</t>
  </si>
  <si>
    <t xml:space="preserve">2. Set seed</t>
  </si>
  <si>
    <t xml:space="preserve">Process</t>
  </si>
  <si>
    <t xml:space="preserve">seed = roll number (random, numpy and PSO RNG)</t>
  </si>
  <si>
    <t xml:space="preserve">3. Generate problem</t>
  </si>
  <si>
    <t xml:space="preserve">N x N grid, random obstacles, random start &amp; goal on free cells</t>
  </si>
  <si>
    <t xml:space="preserve">4. Reachable? (BFS)</t>
  </si>
  <si>
    <t xml:space="preserve">Decision</t>
  </si>
  <si>
    <t xml:space="preserve">No -&gt; regenerate with same RNG stream; Yes -&gt; continue</t>
  </si>
  <si>
    <t xml:space="preserve">5. Initialise swarm</t>
  </si>
  <si>
    <t xml:space="preserve">Particles = waypoints; half near straight line, half random; random velocities</t>
  </si>
  <si>
    <t xml:space="preserve">6. Evaluate fitness</t>
  </si>
  <si>
    <t xml:space="preserve">Path = Start + waypoints + Goal; cost = length + penalty x collisions (collision check)</t>
  </si>
  <si>
    <t xml:space="preserve">7. Set pbest / gbest</t>
  </si>
  <si>
    <t xml:space="preserve">pbest = own position; gbest = best in swarm</t>
  </si>
  <si>
    <t xml:space="preserve">8. Update w, velocity, position</t>
  </si>
  <si>
    <t xml:space="preserve">v = w*v + c1*r1*(pbest-x) + c2*r2*(gbest-x); clip v; x = x + v; clip to grid</t>
  </si>
  <si>
    <t xml:space="preserve">9. Evaluate &amp; update bests</t>
  </si>
  <si>
    <t xml:space="preserve">Recompute cost; update pbest and gbest when improved</t>
  </si>
  <si>
    <t xml:space="preserve">10. Iterations left?</t>
  </si>
  <si>
    <t xml:space="preserve">Yes -&gt; back to update step; No -&gt; next</t>
  </si>
  <si>
    <t xml:space="preserve">11. Feasible path (0 collisions)?</t>
  </si>
  <si>
    <t xml:space="preserve">No -&gt; new restart (up to max); Yes -&gt; continue</t>
  </si>
  <si>
    <t xml:space="preserve">12. Output best path</t>
  </si>
  <si>
    <t xml:space="preserve">Print waypoints, length, collisions, BFS baseline</t>
  </si>
  <si>
    <t xml:space="preserve">13. Plot</t>
  </si>
  <si>
    <t xml:space="preserve">matplotlib: grid, obstacles, start, goal, path, convergence</t>
  </si>
  <si>
    <t xml:space="preserve">14. End</t>
  </si>
  <si>
    <t xml:space="preserve">Finish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</si>
</sst>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%"/>
    <numFmt numFmtId="167" formatCode="0.000"/>
    <numFmt numFmtId="168" formatCode="0%"/>
    <numFmt numFmtId="169" formatCode="#,##0"/>
    <numFmt numFmtId="170" formatCode="0.0"/>
    <numFmt numFmtId="171" formatCode="0.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333333"/>
        <bgColor rgb="FF333300"/>
      </patternFill>
    </fill>
    <fill>
      <patternFill patternType="solid">
        <fgColor rgb="FFFFD700"/>
        <bgColor rgb="FFFFFF00"/>
      </patternFill>
    </fill>
    <fill>
      <patternFill patternType="solid">
        <fgColor rgb="FF32CD32"/>
        <bgColor rgb="FF00FF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4A7EBB"/>
      <rgbColor rgb="FF969696"/>
      <rgbColor rgb="FF1F3864"/>
      <rgbColor rgb="FF32C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Best fitness vs iteration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Convergence!B3</c:f>
              <c:strCache>
                <c:ptCount val="1"/>
                <c:pt idx="0">
                  <c:v>Best fitness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Convergence!$A$4:$A$304</c:f>
              <c:strCach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strCache>
            </c:strRef>
          </c:cat>
          <c:val>
            <c:numRef>
              <c:f>Convergence!$B$4:$B$304</c:f>
              <c:numCache>
                <c:formatCode>0.000</c:formatCode>
                <c:ptCount val="301"/>
                <c:pt idx="0">
                  <c:v>1631.478169</c:v>
                </c:pt>
                <c:pt idx="1">
                  <c:v>777.979823</c:v>
                </c:pt>
                <c:pt idx="2">
                  <c:v>777.979823</c:v>
                </c:pt>
                <c:pt idx="3">
                  <c:v>777.979823</c:v>
                </c:pt>
                <c:pt idx="4">
                  <c:v>777.979823</c:v>
                </c:pt>
                <c:pt idx="5">
                  <c:v>777.979823</c:v>
                </c:pt>
                <c:pt idx="6">
                  <c:v>777.979823</c:v>
                </c:pt>
                <c:pt idx="7">
                  <c:v>633.327111</c:v>
                </c:pt>
                <c:pt idx="8">
                  <c:v>633.327111</c:v>
                </c:pt>
                <c:pt idx="9">
                  <c:v>281.012087</c:v>
                </c:pt>
                <c:pt idx="10">
                  <c:v>281.012087</c:v>
                </c:pt>
                <c:pt idx="11">
                  <c:v>281.012087</c:v>
                </c:pt>
                <c:pt idx="12">
                  <c:v>281.012087</c:v>
                </c:pt>
                <c:pt idx="13">
                  <c:v>281.012087</c:v>
                </c:pt>
                <c:pt idx="14">
                  <c:v>281.012087</c:v>
                </c:pt>
                <c:pt idx="15">
                  <c:v>37.717296</c:v>
                </c:pt>
                <c:pt idx="16">
                  <c:v>37.717296</c:v>
                </c:pt>
                <c:pt idx="17">
                  <c:v>37.717296</c:v>
                </c:pt>
                <c:pt idx="18">
                  <c:v>37.717296</c:v>
                </c:pt>
                <c:pt idx="19">
                  <c:v>37.717296</c:v>
                </c:pt>
                <c:pt idx="20">
                  <c:v>37.717296</c:v>
                </c:pt>
                <c:pt idx="21">
                  <c:v>37.717296</c:v>
                </c:pt>
                <c:pt idx="22">
                  <c:v>37.717296</c:v>
                </c:pt>
                <c:pt idx="23">
                  <c:v>37.717296</c:v>
                </c:pt>
                <c:pt idx="24">
                  <c:v>37.717296</c:v>
                </c:pt>
                <c:pt idx="25">
                  <c:v>37.717296</c:v>
                </c:pt>
                <c:pt idx="26">
                  <c:v>37.717296</c:v>
                </c:pt>
                <c:pt idx="27">
                  <c:v>37.717296</c:v>
                </c:pt>
                <c:pt idx="28">
                  <c:v>37.717296</c:v>
                </c:pt>
                <c:pt idx="29">
                  <c:v>37.717296</c:v>
                </c:pt>
                <c:pt idx="30">
                  <c:v>29.523814</c:v>
                </c:pt>
                <c:pt idx="31">
                  <c:v>29.523814</c:v>
                </c:pt>
                <c:pt idx="32">
                  <c:v>29.523814</c:v>
                </c:pt>
                <c:pt idx="33">
                  <c:v>29.374433</c:v>
                </c:pt>
                <c:pt idx="34">
                  <c:v>29.374433</c:v>
                </c:pt>
                <c:pt idx="35">
                  <c:v>29.374433</c:v>
                </c:pt>
                <c:pt idx="36">
                  <c:v>29.374433</c:v>
                </c:pt>
                <c:pt idx="37">
                  <c:v>29.374433</c:v>
                </c:pt>
                <c:pt idx="38">
                  <c:v>29.374433</c:v>
                </c:pt>
                <c:pt idx="39">
                  <c:v>29.374433</c:v>
                </c:pt>
                <c:pt idx="40">
                  <c:v>29.374433</c:v>
                </c:pt>
                <c:pt idx="41">
                  <c:v>29.374433</c:v>
                </c:pt>
                <c:pt idx="42">
                  <c:v>29.374433</c:v>
                </c:pt>
                <c:pt idx="43">
                  <c:v>29.374433</c:v>
                </c:pt>
                <c:pt idx="44">
                  <c:v>29.374433</c:v>
                </c:pt>
                <c:pt idx="45">
                  <c:v>25.978469</c:v>
                </c:pt>
                <c:pt idx="46">
                  <c:v>25.978469</c:v>
                </c:pt>
                <c:pt idx="47">
                  <c:v>25.978469</c:v>
                </c:pt>
                <c:pt idx="48">
                  <c:v>25.978469</c:v>
                </c:pt>
                <c:pt idx="49">
                  <c:v>25.978469</c:v>
                </c:pt>
                <c:pt idx="50">
                  <c:v>24.49752</c:v>
                </c:pt>
                <c:pt idx="51">
                  <c:v>24.49752</c:v>
                </c:pt>
                <c:pt idx="52">
                  <c:v>24.49752</c:v>
                </c:pt>
                <c:pt idx="53">
                  <c:v>24.49752</c:v>
                </c:pt>
                <c:pt idx="54">
                  <c:v>24.49752</c:v>
                </c:pt>
                <c:pt idx="55">
                  <c:v>24.49752</c:v>
                </c:pt>
                <c:pt idx="56">
                  <c:v>23.086845</c:v>
                </c:pt>
                <c:pt idx="57">
                  <c:v>23.086845</c:v>
                </c:pt>
                <c:pt idx="58">
                  <c:v>23.086845</c:v>
                </c:pt>
                <c:pt idx="59">
                  <c:v>23.086845</c:v>
                </c:pt>
                <c:pt idx="60">
                  <c:v>23.086845</c:v>
                </c:pt>
                <c:pt idx="61">
                  <c:v>23.086845</c:v>
                </c:pt>
                <c:pt idx="62">
                  <c:v>23.086845</c:v>
                </c:pt>
                <c:pt idx="63">
                  <c:v>23.086845</c:v>
                </c:pt>
                <c:pt idx="64">
                  <c:v>23.086845</c:v>
                </c:pt>
                <c:pt idx="65">
                  <c:v>23.086845</c:v>
                </c:pt>
                <c:pt idx="66">
                  <c:v>21.534831</c:v>
                </c:pt>
                <c:pt idx="67">
                  <c:v>21.534831</c:v>
                </c:pt>
                <c:pt idx="68">
                  <c:v>21.534831</c:v>
                </c:pt>
                <c:pt idx="69">
                  <c:v>21.534831</c:v>
                </c:pt>
                <c:pt idx="70">
                  <c:v>21.526621</c:v>
                </c:pt>
                <c:pt idx="71">
                  <c:v>21.526621</c:v>
                </c:pt>
                <c:pt idx="72">
                  <c:v>21.526621</c:v>
                </c:pt>
                <c:pt idx="73">
                  <c:v>21.526621</c:v>
                </c:pt>
                <c:pt idx="74">
                  <c:v>21.526621</c:v>
                </c:pt>
                <c:pt idx="75">
                  <c:v>21.526621</c:v>
                </c:pt>
                <c:pt idx="76">
                  <c:v>21.526621</c:v>
                </c:pt>
                <c:pt idx="77">
                  <c:v>21.526621</c:v>
                </c:pt>
                <c:pt idx="78">
                  <c:v>21.526621</c:v>
                </c:pt>
                <c:pt idx="79">
                  <c:v>21.526621</c:v>
                </c:pt>
                <c:pt idx="80">
                  <c:v>21.526621</c:v>
                </c:pt>
                <c:pt idx="81">
                  <c:v>21.526621</c:v>
                </c:pt>
                <c:pt idx="82">
                  <c:v>21.526621</c:v>
                </c:pt>
                <c:pt idx="83">
                  <c:v>21.400766</c:v>
                </c:pt>
                <c:pt idx="84">
                  <c:v>21.400766</c:v>
                </c:pt>
                <c:pt idx="85">
                  <c:v>21.094868</c:v>
                </c:pt>
                <c:pt idx="86">
                  <c:v>21.094868</c:v>
                </c:pt>
                <c:pt idx="87">
                  <c:v>21.094868</c:v>
                </c:pt>
                <c:pt idx="88">
                  <c:v>21.089617</c:v>
                </c:pt>
                <c:pt idx="89">
                  <c:v>21.089617</c:v>
                </c:pt>
                <c:pt idx="90">
                  <c:v>21.089617</c:v>
                </c:pt>
                <c:pt idx="91">
                  <c:v>21.089617</c:v>
                </c:pt>
                <c:pt idx="92">
                  <c:v>21.089617</c:v>
                </c:pt>
                <c:pt idx="93">
                  <c:v>21.089617</c:v>
                </c:pt>
                <c:pt idx="94">
                  <c:v>21.089617</c:v>
                </c:pt>
                <c:pt idx="95">
                  <c:v>21.089617</c:v>
                </c:pt>
                <c:pt idx="96">
                  <c:v>20.647628</c:v>
                </c:pt>
                <c:pt idx="97">
                  <c:v>20.647628</c:v>
                </c:pt>
                <c:pt idx="98">
                  <c:v>20.335233</c:v>
                </c:pt>
                <c:pt idx="99">
                  <c:v>20.335233</c:v>
                </c:pt>
                <c:pt idx="100">
                  <c:v>20.335233</c:v>
                </c:pt>
                <c:pt idx="101">
                  <c:v>20.335233</c:v>
                </c:pt>
                <c:pt idx="102">
                  <c:v>20.335233</c:v>
                </c:pt>
                <c:pt idx="103">
                  <c:v>20.335233</c:v>
                </c:pt>
                <c:pt idx="104">
                  <c:v>19.729234</c:v>
                </c:pt>
                <c:pt idx="105">
                  <c:v>18.14966</c:v>
                </c:pt>
                <c:pt idx="106">
                  <c:v>18.14966</c:v>
                </c:pt>
                <c:pt idx="107">
                  <c:v>18.14966</c:v>
                </c:pt>
                <c:pt idx="108">
                  <c:v>17.86809</c:v>
                </c:pt>
                <c:pt idx="109">
                  <c:v>17.86809</c:v>
                </c:pt>
                <c:pt idx="110">
                  <c:v>17.86809</c:v>
                </c:pt>
                <c:pt idx="111">
                  <c:v>17.86809</c:v>
                </c:pt>
                <c:pt idx="112">
                  <c:v>17.86809</c:v>
                </c:pt>
                <c:pt idx="113">
                  <c:v>17.560429</c:v>
                </c:pt>
                <c:pt idx="114">
                  <c:v>17.560429</c:v>
                </c:pt>
                <c:pt idx="115">
                  <c:v>17.560429</c:v>
                </c:pt>
                <c:pt idx="116">
                  <c:v>15.918687</c:v>
                </c:pt>
                <c:pt idx="117">
                  <c:v>15.627226</c:v>
                </c:pt>
                <c:pt idx="118">
                  <c:v>15.627226</c:v>
                </c:pt>
                <c:pt idx="119">
                  <c:v>15.627226</c:v>
                </c:pt>
                <c:pt idx="120">
                  <c:v>15.627226</c:v>
                </c:pt>
                <c:pt idx="121">
                  <c:v>15.627226</c:v>
                </c:pt>
                <c:pt idx="122">
                  <c:v>15.627226</c:v>
                </c:pt>
                <c:pt idx="123">
                  <c:v>15.627226</c:v>
                </c:pt>
                <c:pt idx="124">
                  <c:v>15.627226</c:v>
                </c:pt>
                <c:pt idx="125">
                  <c:v>15.627226</c:v>
                </c:pt>
                <c:pt idx="126">
                  <c:v>15.627226</c:v>
                </c:pt>
                <c:pt idx="127">
                  <c:v>15.627226</c:v>
                </c:pt>
                <c:pt idx="128">
                  <c:v>15.627226</c:v>
                </c:pt>
                <c:pt idx="129">
                  <c:v>15.627226</c:v>
                </c:pt>
                <c:pt idx="130">
                  <c:v>15.627226</c:v>
                </c:pt>
                <c:pt idx="131">
                  <c:v>15.627226</c:v>
                </c:pt>
                <c:pt idx="132">
                  <c:v>15.532933</c:v>
                </c:pt>
                <c:pt idx="133">
                  <c:v>15.532933</c:v>
                </c:pt>
                <c:pt idx="134">
                  <c:v>15.532933</c:v>
                </c:pt>
                <c:pt idx="135">
                  <c:v>15.532933</c:v>
                </c:pt>
                <c:pt idx="136">
                  <c:v>15.532933</c:v>
                </c:pt>
                <c:pt idx="137">
                  <c:v>15.341217</c:v>
                </c:pt>
                <c:pt idx="138">
                  <c:v>15.341217</c:v>
                </c:pt>
                <c:pt idx="139">
                  <c:v>15.341217</c:v>
                </c:pt>
                <c:pt idx="140">
                  <c:v>15.330897</c:v>
                </c:pt>
                <c:pt idx="141">
                  <c:v>15.269273</c:v>
                </c:pt>
                <c:pt idx="142">
                  <c:v>15.269273</c:v>
                </c:pt>
                <c:pt idx="143">
                  <c:v>15.262648</c:v>
                </c:pt>
                <c:pt idx="144">
                  <c:v>15.202255</c:v>
                </c:pt>
                <c:pt idx="145">
                  <c:v>15.127857</c:v>
                </c:pt>
                <c:pt idx="146">
                  <c:v>15.127857</c:v>
                </c:pt>
                <c:pt idx="147">
                  <c:v>15.127857</c:v>
                </c:pt>
                <c:pt idx="148">
                  <c:v>15.124538</c:v>
                </c:pt>
                <c:pt idx="149">
                  <c:v>15.124538</c:v>
                </c:pt>
                <c:pt idx="150">
                  <c:v>15.097718</c:v>
                </c:pt>
                <c:pt idx="151">
                  <c:v>15.097718</c:v>
                </c:pt>
                <c:pt idx="152">
                  <c:v>15.082866</c:v>
                </c:pt>
                <c:pt idx="153">
                  <c:v>15.066586</c:v>
                </c:pt>
                <c:pt idx="154">
                  <c:v>15.066586</c:v>
                </c:pt>
                <c:pt idx="155">
                  <c:v>15.066586</c:v>
                </c:pt>
                <c:pt idx="156">
                  <c:v>15.051397</c:v>
                </c:pt>
                <c:pt idx="157">
                  <c:v>14.973723</c:v>
                </c:pt>
                <c:pt idx="158">
                  <c:v>14.973723</c:v>
                </c:pt>
                <c:pt idx="159">
                  <c:v>14.973723</c:v>
                </c:pt>
                <c:pt idx="160">
                  <c:v>14.973723</c:v>
                </c:pt>
                <c:pt idx="161">
                  <c:v>14.973723</c:v>
                </c:pt>
                <c:pt idx="162">
                  <c:v>14.973723</c:v>
                </c:pt>
                <c:pt idx="163">
                  <c:v>14.961886</c:v>
                </c:pt>
                <c:pt idx="164">
                  <c:v>14.961886</c:v>
                </c:pt>
                <c:pt idx="165">
                  <c:v>14.937494</c:v>
                </c:pt>
                <c:pt idx="166">
                  <c:v>14.937494</c:v>
                </c:pt>
                <c:pt idx="167">
                  <c:v>14.937494</c:v>
                </c:pt>
                <c:pt idx="168">
                  <c:v>14.826981</c:v>
                </c:pt>
                <c:pt idx="169">
                  <c:v>14.826981</c:v>
                </c:pt>
                <c:pt idx="170">
                  <c:v>14.826981</c:v>
                </c:pt>
                <c:pt idx="171">
                  <c:v>14.826981</c:v>
                </c:pt>
                <c:pt idx="172">
                  <c:v>14.826981</c:v>
                </c:pt>
                <c:pt idx="173">
                  <c:v>14.826981</c:v>
                </c:pt>
                <c:pt idx="174">
                  <c:v>14.826981</c:v>
                </c:pt>
                <c:pt idx="175">
                  <c:v>14.826981</c:v>
                </c:pt>
                <c:pt idx="176">
                  <c:v>14.826981</c:v>
                </c:pt>
                <c:pt idx="177">
                  <c:v>14.826981</c:v>
                </c:pt>
                <c:pt idx="178">
                  <c:v>14.826981</c:v>
                </c:pt>
                <c:pt idx="179">
                  <c:v>14.815114</c:v>
                </c:pt>
                <c:pt idx="180">
                  <c:v>14.804118</c:v>
                </c:pt>
                <c:pt idx="181">
                  <c:v>14.804118</c:v>
                </c:pt>
                <c:pt idx="182">
                  <c:v>14.799453</c:v>
                </c:pt>
                <c:pt idx="183">
                  <c:v>14.788202</c:v>
                </c:pt>
                <c:pt idx="184">
                  <c:v>14.788202</c:v>
                </c:pt>
                <c:pt idx="185">
                  <c:v>14.779005</c:v>
                </c:pt>
                <c:pt idx="186">
                  <c:v>14.779005</c:v>
                </c:pt>
                <c:pt idx="187">
                  <c:v>14.773657</c:v>
                </c:pt>
                <c:pt idx="188">
                  <c:v>14.72988</c:v>
                </c:pt>
                <c:pt idx="189">
                  <c:v>14.72988</c:v>
                </c:pt>
                <c:pt idx="190">
                  <c:v>14.706462</c:v>
                </c:pt>
                <c:pt idx="191">
                  <c:v>14.698969</c:v>
                </c:pt>
                <c:pt idx="192">
                  <c:v>14.672945</c:v>
                </c:pt>
                <c:pt idx="193">
                  <c:v>14.672945</c:v>
                </c:pt>
                <c:pt idx="194">
                  <c:v>14.672945</c:v>
                </c:pt>
                <c:pt idx="195">
                  <c:v>14.672945</c:v>
                </c:pt>
                <c:pt idx="196">
                  <c:v>14.672945</c:v>
                </c:pt>
                <c:pt idx="197">
                  <c:v>14.672945</c:v>
                </c:pt>
                <c:pt idx="198">
                  <c:v>14.671287</c:v>
                </c:pt>
                <c:pt idx="199">
                  <c:v>14.670427</c:v>
                </c:pt>
                <c:pt idx="200">
                  <c:v>14.670427</c:v>
                </c:pt>
                <c:pt idx="201">
                  <c:v>14.670427</c:v>
                </c:pt>
                <c:pt idx="202">
                  <c:v>14.669639</c:v>
                </c:pt>
                <c:pt idx="203">
                  <c:v>14.66228</c:v>
                </c:pt>
                <c:pt idx="204">
                  <c:v>14.660685</c:v>
                </c:pt>
                <c:pt idx="205">
                  <c:v>14.652802</c:v>
                </c:pt>
                <c:pt idx="206">
                  <c:v>14.652802</c:v>
                </c:pt>
                <c:pt idx="207">
                  <c:v>14.651454</c:v>
                </c:pt>
                <c:pt idx="208">
                  <c:v>14.649314</c:v>
                </c:pt>
                <c:pt idx="209">
                  <c:v>14.649314</c:v>
                </c:pt>
                <c:pt idx="210">
                  <c:v>14.647293</c:v>
                </c:pt>
                <c:pt idx="211">
                  <c:v>14.647293</c:v>
                </c:pt>
                <c:pt idx="212">
                  <c:v>14.645956</c:v>
                </c:pt>
                <c:pt idx="213">
                  <c:v>14.640794</c:v>
                </c:pt>
                <c:pt idx="214">
                  <c:v>14.640794</c:v>
                </c:pt>
                <c:pt idx="215">
                  <c:v>14.640794</c:v>
                </c:pt>
                <c:pt idx="216">
                  <c:v>14.638107</c:v>
                </c:pt>
                <c:pt idx="217">
                  <c:v>14.638107</c:v>
                </c:pt>
                <c:pt idx="218">
                  <c:v>14.638107</c:v>
                </c:pt>
                <c:pt idx="219">
                  <c:v>14.635031</c:v>
                </c:pt>
                <c:pt idx="220">
                  <c:v>14.633595</c:v>
                </c:pt>
                <c:pt idx="221">
                  <c:v>14.633068</c:v>
                </c:pt>
                <c:pt idx="222">
                  <c:v>14.633068</c:v>
                </c:pt>
                <c:pt idx="223">
                  <c:v>14.633068</c:v>
                </c:pt>
                <c:pt idx="224">
                  <c:v>14.632875</c:v>
                </c:pt>
                <c:pt idx="225">
                  <c:v>14.632192</c:v>
                </c:pt>
                <c:pt idx="226">
                  <c:v>14.630361</c:v>
                </c:pt>
                <c:pt idx="227">
                  <c:v>14.629403</c:v>
                </c:pt>
                <c:pt idx="228">
                  <c:v>14.628435</c:v>
                </c:pt>
                <c:pt idx="229">
                  <c:v>14.628012</c:v>
                </c:pt>
                <c:pt idx="230">
                  <c:v>14.627864</c:v>
                </c:pt>
                <c:pt idx="231">
                  <c:v>14.627586</c:v>
                </c:pt>
                <c:pt idx="232">
                  <c:v>14.62617</c:v>
                </c:pt>
                <c:pt idx="233">
                  <c:v>14.62617</c:v>
                </c:pt>
                <c:pt idx="234">
                  <c:v>14.625877</c:v>
                </c:pt>
                <c:pt idx="235">
                  <c:v>14.625877</c:v>
                </c:pt>
                <c:pt idx="236">
                  <c:v>14.625819</c:v>
                </c:pt>
                <c:pt idx="237">
                  <c:v>14.625819</c:v>
                </c:pt>
                <c:pt idx="238">
                  <c:v>14.625728</c:v>
                </c:pt>
                <c:pt idx="239">
                  <c:v>14.625728</c:v>
                </c:pt>
                <c:pt idx="240">
                  <c:v>14.625529</c:v>
                </c:pt>
                <c:pt idx="241">
                  <c:v>14.625277</c:v>
                </c:pt>
                <c:pt idx="242">
                  <c:v>14.625031</c:v>
                </c:pt>
                <c:pt idx="243">
                  <c:v>14.624739</c:v>
                </c:pt>
                <c:pt idx="244">
                  <c:v>14.62431</c:v>
                </c:pt>
                <c:pt idx="245">
                  <c:v>14.624057</c:v>
                </c:pt>
                <c:pt idx="246">
                  <c:v>14.623661</c:v>
                </c:pt>
                <c:pt idx="247">
                  <c:v>14.622993</c:v>
                </c:pt>
                <c:pt idx="248">
                  <c:v>14.622993</c:v>
                </c:pt>
                <c:pt idx="249">
                  <c:v>14.622837</c:v>
                </c:pt>
                <c:pt idx="250">
                  <c:v>14.622668</c:v>
                </c:pt>
                <c:pt idx="251">
                  <c:v>14.622668</c:v>
                </c:pt>
                <c:pt idx="252">
                  <c:v>14.622611</c:v>
                </c:pt>
                <c:pt idx="253">
                  <c:v>14.622598</c:v>
                </c:pt>
                <c:pt idx="254">
                  <c:v>14.622568</c:v>
                </c:pt>
                <c:pt idx="255">
                  <c:v>14.622437</c:v>
                </c:pt>
                <c:pt idx="256">
                  <c:v>14.622396</c:v>
                </c:pt>
                <c:pt idx="257">
                  <c:v>14.62225</c:v>
                </c:pt>
                <c:pt idx="258">
                  <c:v>14.62225</c:v>
                </c:pt>
                <c:pt idx="259">
                  <c:v>14.622173</c:v>
                </c:pt>
                <c:pt idx="260">
                  <c:v>14.622149</c:v>
                </c:pt>
                <c:pt idx="261">
                  <c:v>14.622149</c:v>
                </c:pt>
                <c:pt idx="262">
                  <c:v>14.621946</c:v>
                </c:pt>
                <c:pt idx="263">
                  <c:v>14.621946</c:v>
                </c:pt>
                <c:pt idx="264">
                  <c:v>14.621946</c:v>
                </c:pt>
                <c:pt idx="265">
                  <c:v>14.621861</c:v>
                </c:pt>
                <c:pt idx="266">
                  <c:v>14.621771</c:v>
                </c:pt>
                <c:pt idx="267">
                  <c:v>14.621697</c:v>
                </c:pt>
                <c:pt idx="268">
                  <c:v>14.621684</c:v>
                </c:pt>
                <c:pt idx="269">
                  <c:v>14.621682</c:v>
                </c:pt>
                <c:pt idx="270">
                  <c:v>14.62163</c:v>
                </c:pt>
                <c:pt idx="271">
                  <c:v>14.621575</c:v>
                </c:pt>
                <c:pt idx="272">
                  <c:v>14.62155</c:v>
                </c:pt>
                <c:pt idx="273">
                  <c:v>14.621501</c:v>
                </c:pt>
                <c:pt idx="274">
                  <c:v>14.621501</c:v>
                </c:pt>
                <c:pt idx="275">
                  <c:v>14.6215</c:v>
                </c:pt>
                <c:pt idx="276">
                  <c:v>14.621496</c:v>
                </c:pt>
                <c:pt idx="277">
                  <c:v>14.621491</c:v>
                </c:pt>
                <c:pt idx="278">
                  <c:v>14.621478</c:v>
                </c:pt>
                <c:pt idx="279">
                  <c:v>14.621466</c:v>
                </c:pt>
                <c:pt idx="280">
                  <c:v>14.621448</c:v>
                </c:pt>
                <c:pt idx="281">
                  <c:v>14.621429</c:v>
                </c:pt>
                <c:pt idx="282">
                  <c:v>14.621427</c:v>
                </c:pt>
                <c:pt idx="283">
                  <c:v>14.621408</c:v>
                </c:pt>
                <c:pt idx="284">
                  <c:v>14.621408</c:v>
                </c:pt>
                <c:pt idx="285">
                  <c:v>14.621406</c:v>
                </c:pt>
                <c:pt idx="286">
                  <c:v>14.621398</c:v>
                </c:pt>
                <c:pt idx="287">
                  <c:v>14.621386</c:v>
                </c:pt>
                <c:pt idx="288">
                  <c:v>14.621382</c:v>
                </c:pt>
                <c:pt idx="289">
                  <c:v>14.621382</c:v>
                </c:pt>
                <c:pt idx="290">
                  <c:v>14.621382</c:v>
                </c:pt>
                <c:pt idx="291">
                  <c:v>14.62138</c:v>
                </c:pt>
                <c:pt idx="292">
                  <c:v>14.62138</c:v>
                </c:pt>
                <c:pt idx="293">
                  <c:v>14.62138</c:v>
                </c:pt>
                <c:pt idx="294">
                  <c:v>14.62138</c:v>
                </c:pt>
                <c:pt idx="295">
                  <c:v>14.62138</c:v>
                </c:pt>
                <c:pt idx="296">
                  <c:v>14.621376</c:v>
                </c:pt>
                <c:pt idx="297">
                  <c:v>14.621374</c:v>
                </c:pt>
                <c:pt idx="298">
                  <c:v>14.62137</c:v>
                </c:pt>
                <c:pt idx="299">
                  <c:v>14.621366</c:v>
                </c:pt>
                <c:pt idx="300">
                  <c:v>14.621363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00289"/>
        <c:axId val="15702199"/>
      </c:lineChart>
      <c:catAx>
        <c:axId val="82002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02199"/>
        <c:crosses val="autoZero"/>
        <c:auto val="1"/>
        <c:lblAlgn val="ctr"/>
        <c:lblOffset val="100"/>
        <c:noMultiLvlLbl val="0"/>
      </c:catAx>
      <c:valAx>
        <c:axId val="15702199"/>
        <c:scaling>
          <c:orientation val="minMax"/>
          <c:max val="8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Fitness (length + penalty)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02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16</xdr:row>
      <xdr:rowOff>160560</xdr:rowOff>
    </xdr:from>
    <xdr:to>
      <xdr:col>9</xdr:col>
      <xdr:colOff>86400</xdr:colOff>
      <xdr:row>33</xdr:row>
      <xdr:rowOff>162000</xdr:rowOff>
    </xdr:to>
    <xdr:graphicFrame>
      <xdr:nvGraphicFramePr>
        <xdr:cNvPr id="0" name="Chart 1"/>
        <xdr:cNvGraphicFramePr/>
      </xdr:nvGraphicFramePr>
      <xdr:xfrm>
        <a:off x="1973520" y="3238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tr">
        <f aca="false">Parameters!B4</f>
        <v>Your Name</v>
      </c>
      <c r="C5" s="4" t="s">
        <v>6</v>
      </c>
    </row>
    <row r="6" customFormat="false" ht="15" hidden="false" customHeight="false" outlineLevel="0" collapsed="false">
      <c r="A6" s="4" t="s">
        <v>7</v>
      </c>
      <c r="B6" s="6" t="n">
        <f aca="false">Parameters!B5</f>
        <v>12345</v>
      </c>
      <c r="C6" s="4"/>
    </row>
    <row r="7" customFormat="false" ht="15" hidden="false" customHeight="false" outlineLevel="0" collapsed="false">
      <c r="A7" s="4" t="s">
        <v>8</v>
      </c>
      <c r="B7" s="6" t="n">
        <f aca="false">Parameters!B5</f>
        <v>12345</v>
      </c>
      <c r="C7" s="4" t="s">
        <v>9</v>
      </c>
    </row>
    <row r="8" customFormat="false" ht="15" hidden="false" customHeight="false" outlineLevel="0" collapsed="false">
      <c r="A8" s="4" t="s">
        <v>10</v>
      </c>
      <c r="B8" s="5" t="str">
        <f aca="false">Parameters!B6&amp;" x "&amp;Parameters!B6</f>
        <v>20 x 20</v>
      </c>
      <c r="C8" s="4"/>
    </row>
    <row r="9" customFormat="false" ht="15" hidden="false" customHeight="false" outlineLevel="0" collapsed="false">
      <c r="A9" s="4" t="s">
        <v>11</v>
      </c>
      <c r="B9" s="6" t="n">
        <f aca="false">Grid!X4</f>
        <v>77</v>
      </c>
      <c r="C9" s="4" t="s">
        <v>12</v>
      </c>
    </row>
    <row r="10" customFormat="false" ht="15" hidden="false" customHeight="false" outlineLevel="0" collapsed="false">
      <c r="A10" s="4" t="s">
        <v>13</v>
      </c>
      <c r="B10" s="7" t="n">
        <f aca="false">Grid!X6</f>
        <v>0.1925</v>
      </c>
      <c r="C10" s="4"/>
    </row>
    <row r="11" customFormat="false" ht="15" hidden="false" customHeight="false" outlineLevel="0" collapsed="false">
      <c r="A11" s="4" t="s">
        <v>14</v>
      </c>
      <c r="B11" s="8" t="n">
        <v>11</v>
      </c>
      <c r="C11" s="4" t="s">
        <v>15</v>
      </c>
    </row>
    <row r="12" customFormat="false" ht="15" hidden="false" customHeight="false" outlineLevel="0" collapsed="false">
      <c r="A12" s="4" t="s">
        <v>16</v>
      </c>
      <c r="B12" s="8" t="n">
        <v>5</v>
      </c>
      <c r="C12" s="4"/>
    </row>
    <row r="13" customFormat="false" ht="15" hidden="false" customHeight="false" outlineLevel="0" collapsed="false">
      <c r="A13" s="4" t="s">
        <v>17</v>
      </c>
      <c r="B13" s="8" t="n">
        <v>16</v>
      </c>
      <c r="C13" s="4"/>
    </row>
    <row r="14" customFormat="false" ht="15" hidden="false" customHeight="false" outlineLevel="0" collapsed="false">
      <c r="A14" s="4" t="s">
        <v>18</v>
      </c>
      <c r="B14" s="8" t="n">
        <v>16</v>
      </c>
      <c r="C14" s="4"/>
    </row>
    <row r="15" customFormat="false" ht="15" hidden="false" customHeight="false" outlineLevel="0" collapsed="false">
      <c r="A15" s="4" t="s">
        <v>19</v>
      </c>
      <c r="B15" s="9" t="n">
        <f aca="false">SQRT((B13-B11)^2+(B14-B12)^2)</f>
        <v>12.0830459735946</v>
      </c>
      <c r="C15" s="4" t="s">
        <v>20</v>
      </c>
    </row>
    <row r="16" customFormat="false" ht="15" hidden="false" customHeight="false" outlineLevel="0" collapsed="false">
      <c r="A16" s="4" t="s">
        <v>21</v>
      </c>
      <c r="B16" s="10" t="n">
        <f aca="false">Path!D16</f>
        <v>14.6213631992427</v>
      </c>
      <c r="C16" s="4" t="s">
        <v>22</v>
      </c>
    </row>
    <row r="17" customFormat="false" ht="15" hidden="false" customHeight="false" outlineLevel="0" collapsed="false">
      <c r="A17" s="4" t="s">
        <v>23</v>
      </c>
      <c r="B17" s="8" t="n">
        <v>0</v>
      </c>
      <c r="C17" s="4" t="s">
        <v>24</v>
      </c>
    </row>
    <row r="18" customFormat="false" ht="15" hidden="false" customHeight="false" outlineLevel="0" collapsed="false">
      <c r="A18" s="4" t="s">
        <v>25</v>
      </c>
      <c r="B18" s="11" t="str">
        <f aca="false">IF(B17=0,"OBSTACLE-FREE","NOT feasible")</f>
        <v>OBSTACLE-FREE</v>
      </c>
      <c r="C18" s="4"/>
    </row>
    <row r="19" customFormat="false" ht="15" hidden="false" customHeight="false" outlineLevel="0" collapsed="false">
      <c r="A19" s="4" t="s">
        <v>26</v>
      </c>
      <c r="B19" s="8" t="n">
        <v>16</v>
      </c>
      <c r="C19" s="4" t="s">
        <v>27</v>
      </c>
    </row>
    <row r="20" customFormat="false" ht="15" hidden="false" customHeight="false" outlineLevel="0" collapsed="false">
      <c r="A20" s="4" t="s">
        <v>28</v>
      </c>
      <c r="B20" s="12" t="n">
        <f aca="false">(B19-B16)/B19</f>
        <v>0.086164800047332</v>
      </c>
      <c r="C20" s="4" t="s">
        <v>29</v>
      </c>
    </row>
    <row r="21" customFormat="false" ht="15" hidden="false" customHeight="false" outlineLevel="0" collapsed="false">
      <c r="A21" s="4" t="s">
        <v>30</v>
      </c>
      <c r="B21" s="9" t="n">
        <f aca="false">B16/B15</f>
        <v>1.21007262830872</v>
      </c>
      <c r="C21" s="4" t="s">
        <v>31</v>
      </c>
    </row>
    <row r="22" customFormat="false" ht="15" hidden="false" customHeight="false" outlineLevel="0" collapsed="false">
      <c r="A22" s="4" t="s">
        <v>32</v>
      </c>
      <c r="B22" s="10" t="n">
        <f aca="false">Convergence!E5</f>
        <v>14.621363</v>
      </c>
      <c r="C22" s="4" t="s">
        <v>33</v>
      </c>
    </row>
    <row r="23" customFormat="false" ht="15" hidden="false" customHeight="false" outlineLevel="0" collapsed="false">
      <c r="A23" s="4" t="s">
        <v>34</v>
      </c>
      <c r="B23" s="5" t="str">
        <f aca="false">Parameters!B9&amp;" x "&amp;Parameters!B10</f>
        <v>120 x 300</v>
      </c>
      <c r="C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3" customFormat="false" ht="15" hidden="false" customHeight="false" outlineLevel="0" collapsed="false">
      <c r="A3" s="3" t="s">
        <v>37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13" t="s">
        <v>38</v>
      </c>
      <c r="C4" s="4" t="s">
        <v>39</v>
      </c>
    </row>
    <row r="5" customFormat="false" ht="15" hidden="false" customHeight="false" outlineLevel="0" collapsed="false">
      <c r="A5" s="4" t="s">
        <v>40</v>
      </c>
      <c r="B5" s="13" t="n">
        <v>12345</v>
      </c>
      <c r="C5" s="4" t="s">
        <v>41</v>
      </c>
    </row>
    <row r="6" customFormat="false" ht="15" hidden="false" customHeight="false" outlineLevel="0" collapsed="false">
      <c r="A6" s="4" t="s">
        <v>42</v>
      </c>
      <c r="B6" s="13" t="n">
        <v>20</v>
      </c>
      <c r="C6" s="4" t="s">
        <v>43</v>
      </c>
    </row>
    <row r="7" customFormat="false" ht="15" hidden="false" customHeight="false" outlineLevel="0" collapsed="false">
      <c r="A7" s="4" t="s">
        <v>44</v>
      </c>
      <c r="B7" s="14" t="n">
        <v>0.2</v>
      </c>
      <c r="C7" s="4" t="s">
        <v>45</v>
      </c>
    </row>
    <row r="8" customFormat="false" ht="15" hidden="false" customHeight="false" outlineLevel="0" collapsed="false">
      <c r="A8" s="4" t="s">
        <v>46</v>
      </c>
      <c r="B8" s="13" t="n">
        <v>8</v>
      </c>
      <c r="C8" s="4" t="s">
        <v>47</v>
      </c>
    </row>
    <row r="9" customFormat="false" ht="15" hidden="false" customHeight="false" outlineLevel="0" collapsed="false">
      <c r="A9" s="4" t="s">
        <v>48</v>
      </c>
      <c r="B9" s="13" t="n">
        <v>120</v>
      </c>
      <c r="C9" s="4" t="s">
        <v>49</v>
      </c>
    </row>
    <row r="10" customFormat="false" ht="15" hidden="false" customHeight="false" outlineLevel="0" collapsed="false">
      <c r="A10" s="4" t="s">
        <v>50</v>
      </c>
      <c r="B10" s="13" t="n">
        <v>300</v>
      </c>
      <c r="C10" s="4" t="s">
        <v>51</v>
      </c>
    </row>
    <row r="11" customFormat="false" ht="15" hidden="false" customHeight="false" outlineLevel="0" collapsed="false">
      <c r="A11" s="4" t="s">
        <v>52</v>
      </c>
      <c r="B11" s="13" t="n">
        <v>0.9</v>
      </c>
      <c r="C11" s="4" t="s">
        <v>53</v>
      </c>
    </row>
    <row r="12" customFormat="false" ht="15" hidden="false" customHeight="false" outlineLevel="0" collapsed="false">
      <c r="A12" s="4" t="s">
        <v>54</v>
      </c>
      <c r="B12" s="13" t="n">
        <v>0.4</v>
      </c>
      <c r="C12" s="4"/>
    </row>
    <row r="13" customFormat="false" ht="15" hidden="false" customHeight="false" outlineLevel="0" collapsed="false">
      <c r="A13" s="4" t="s">
        <v>55</v>
      </c>
      <c r="B13" s="13" t="n">
        <v>1.6</v>
      </c>
      <c r="C13" s="4" t="s">
        <v>56</v>
      </c>
    </row>
    <row r="14" customFormat="false" ht="15" hidden="false" customHeight="false" outlineLevel="0" collapsed="false">
      <c r="A14" s="4" t="s">
        <v>57</v>
      </c>
      <c r="B14" s="13" t="n">
        <v>1.6</v>
      </c>
      <c r="C14" s="4" t="s">
        <v>58</v>
      </c>
    </row>
    <row r="15" customFormat="false" ht="15" hidden="false" customHeight="false" outlineLevel="0" collapsed="false">
      <c r="A15" s="4" t="s">
        <v>59</v>
      </c>
      <c r="B15" s="13" t="n">
        <v>50</v>
      </c>
      <c r="C15" s="4" t="s">
        <v>60</v>
      </c>
    </row>
    <row r="16" customFormat="false" ht="15" hidden="false" customHeight="false" outlineLevel="0" collapsed="false">
      <c r="A16" s="4" t="s">
        <v>61</v>
      </c>
      <c r="B16" s="13" t="n">
        <v>0.1</v>
      </c>
      <c r="C16" s="4" t="s">
        <v>62</v>
      </c>
    </row>
    <row r="17" customFormat="false" ht="15" hidden="false" customHeight="false" outlineLevel="0" collapsed="false">
      <c r="A17" s="4" t="s">
        <v>63</v>
      </c>
      <c r="B17" s="13" t="n">
        <v>5</v>
      </c>
      <c r="C17" s="4" t="s">
        <v>64</v>
      </c>
    </row>
    <row r="19" customFormat="false" ht="15" hidden="false" customHeight="false" outlineLevel="0" collapsed="false">
      <c r="A19" s="15" t="s">
        <v>65</v>
      </c>
      <c r="B19" s="16"/>
      <c r="C19" s="16"/>
    </row>
    <row r="20" customFormat="false" ht="15" hidden="false" customHeight="false" outlineLevel="0" collapsed="false">
      <c r="A20" s="4" t="s">
        <v>66</v>
      </c>
      <c r="B20" s="17" t="n">
        <f aca="false">B6*B6</f>
        <v>400</v>
      </c>
      <c r="C20" s="4" t="s">
        <v>67</v>
      </c>
    </row>
    <row r="21" customFormat="false" ht="15" hidden="false" customHeight="false" outlineLevel="0" collapsed="false">
      <c r="A21" s="4" t="s">
        <v>68</v>
      </c>
      <c r="B21" s="17" t="n">
        <f aca="false">INT(B7*B6*B6)</f>
        <v>80</v>
      </c>
      <c r="C21" s="4" t="s">
        <v>69</v>
      </c>
    </row>
    <row r="22" customFormat="false" ht="15" hidden="false" customHeight="false" outlineLevel="0" collapsed="false">
      <c r="A22" s="4" t="s">
        <v>70</v>
      </c>
      <c r="B22" s="17" t="n">
        <f aca="false">2*B8</f>
        <v>16</v>
      </c>
      <c r="C22" s="4" t="s">
        <v>71</v>
      </c>
    </row>
    <row r="23" customFormat="false" ht="15" hidden="false" customHeight="false" outlineLevel="0" collapsed="false">
      <c r="A23" s="4" t="s">
        <v>72</v>
      </c>
      <c r="B23" s="18" t="n">
        <f aca="false">B9*(B10+1)</f>
        <v>36120</v>
      </c>
      <c r="C23" s="4" t="s">
        <v>73</v>
      </c>
    </row>
    <row r="24" customFormat="false" ht="15" hidden="false" customHeight="false" outlineLevel="0" collapsed="false">
      <c r="A24" s="4" t="s">
        <v>74</v>
      </c>
      <c r="B24" s="18" t="n">
        <f aca="false">B23*B17</f>
        <v>180600</v>
      </c>
      <c r="C24" s="4" t="s">
        <v>75</v>
      </c>
    </row>
    <row r="25" customFormat="false" ht="15" hidden="false" customHeight="false" outlineLevel="0" collapsed="false">
      <c r="A25" s="4" t="s">
        <v>76</v>
      </c>
      <c r="B25" s="19" t="n">
        <f aca="false">0.2*B6</f>
        <v>4</v>
      </c>
      <c r="C25" s="4" t="s">
        <v>77</v>
      </c>
    </row>
    <row r="26" customFormat="false" ht="15" hidden="false" customHeight="false" outlineLevel="0" collapsed="false">
      <c r="A26" s="4" t="s">
        <v>78</v>
      </c>
      <c r="B26" s="20" t="n">
        <f aca="false">(B11-B12)/(B10-1)</f>
        <v>0.00167224080267559</v>
      </c>
      <c r="C26" s="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4.2"/>
    <col collapsed="false" customWidth="true" hidden="false" outlineLevel="0" max="23" min="23" style="0" width="24"/>
    <col collapsed="false" customWidth="true" hidden="false" outlineLevel="0" max="24" min="24" style="0" width="12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3" customFormat="false" ht="15" hidden="false" customHeight="false" outlineLevel="0" collapsed="false">
      <c r="A3" s="21" t="s">
        <v>82</v>
      </c>
      <c r="B3" s="21" t="n">
        <v>0</v>
      </c>
      <c r="C3" s="21" t="n">
        <v>1</v>
      </c>
      <c r="D3" s="21" t="n">
        <v>2</v>
      </c>
      <c r="E3" s="21" t="n">
        <v>3</v>
      </c>
      <c r="F3" s="21" t="n">
        <v>4</v>
      </c>
      <c r="G3" s="21" t="n">
        <v>5</v>
      </c>
      <c r="H3" s="21" t="n">
        <v>6</v>
      </c>
      <c r="I3" s="21" t="n">
        <v>7</v>
      </c>
      <c r="J3" s="21" t="n">
        <v>8</v>
      </c>
      <c r="K3" s="21" t="n">
        <v>9</v>
      </c>
      <c r="L3" s="21" t="n">
        <v>10</v>
      </c>
      <c r="M3" s="21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1" t="n">
        <v>17</v>
      </c>
      <c r="T3" s="21" t="n">
        <v>18</v>
      </c>
      <c r="U3" s="21" t="n">
        <v>19</v>
      </c>
      <c r="W3" s="15" t="s">
        <v>83</v>
      </c>
      <c r="X3" s="16"/>
    </row>
    <row r="4" customFormat="false" ht="15" hidden="false" customHeight="false" outlineLevel="0" collapsed="false">
      <c r="A4" s="21" t="n">
        <v>19</v>
      </c>
      <c r="B4" s="22" t="n">
        <v>1</v>
      </c>
      <c r="C4" s="23"/>
      <c r="D4" s="23"/>
      <c r="E4" s="23"/>
      <c r="F4" s="23"/>
      <c r="G4" s="23"/>
      <c r="H4" s="23"/>
      <c r="I4" s="22" t="n">
        <v>1</v>
      </c>
      <c r="J4" s="23"/>
      <c r="K4" s="23"/>
      <c r="L4" s="23"/>
      <c r="M4" s="22" t="n">
        <v>1</v>
      </c>
      <c r="N4" s="23"/>
      <c r="O4" s="23"/>
      <c r="P4" s="23"/>
      <c r="Q4" s="23"/>
      <c r="R4" s="23"/>
      <c r="S4" s="23"/>
      <c r="T4" s="23"/>
      <c r="U4" s="22" t="n">
        <v>1</v>
      </c>
      <c r="W4" s="4" t="s">
        <v>84</v>
      </c>
      <c r="X4" s="17" t="n">
        <f aca="false">SUM(B4:U23)</f>
        <v>77</v>
      </c>
    </row>
    <row r="5" customFormat="false" ht="15" hidden="false" customHeight="false" outlineLevel="0" collapsed="false">
      <c r="A5" s="21" t="n">
        <v>18</v>
      </c>
      <c r="B5" s="23"/>
      <c r="C5" s="23"/>
      <c r="D5" s="23"/>
      <c r="E5" s="23"/>
      <c r="F5" s="23"/>
      <c r="G5" s="22" t="n">
        <v>1</v>
      </c>
      <c r="H5" s="23"/>
      <c r="I5" s="22" t="n">
        <v>1</v>
      </c>
      <c r="J5" s="23"/>
      <c r="K5" s="22" t="n">
        <v>1</v>
      </c>
      <c r="L5" s="23"/>
      <c r="M5" s="23"/>
      <c r="N5" s="23"/>
      <c r="O5" s="23"/>
      <c r="P5" s="23"/>
      <c r="Q5" s="23"/>
      <c r="R5" s="23"/>
      <c r="S5" s="22" t="n">
        <v>1</v>
      </c>
      <c r="T5" s="22" t="n">
        <v>1</v>
      </c>
      <c r="U5" s="23"/>
      <c r="W5" s="4" t="s">
        <v>85</v>
      </c>
      <c r="X5" s="24" t="n">
        <f aca="false">Parameters!B20</f>
        <v>400</v>
      </c>
    </row>
    <row r="6" customFormat="false" ht="15" hidden="false" customHeight="false" outlineLevel="0" collapsed="false">
      <c r="A6" s="21" t="n">
        <v>17</v>
      </c>
      <c r="B6" s="22" t="n">
        <v>1</v>
      </c>
      <c r="C6" s="23"/>
      <c r="D6" s="23"/>
      <c r="E6" s="22" t="n">
        <v>1</v>
      </c>
      <c r="F6" s="22" t="n">
        <v>1</v>
      </c>
      <c r="G6" s="23"/>
      <c r="H6" s="23"/>
      <c r="I6" s="23"/>
      <c r="J6" s="22" t="n">
        <v>1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W6" s="4" t="s">
        <v>13</v>
      </c>
      <c r="X6" s="25" t="n">
        <f aca="false">X4/X5</f>
        <v>0.1925</v>
      </c>
    </row>
    <row r="7" customFormat="false" ht="15" hidden="false" customHeight="false" outlineLevel="0" collapsed="false">
      <c r="A7" s="21" t="n">
        <v>16</v>
      </c>
      <c r="B7" s="22" t="n">
        <v>1</v>
      </c>
      <c r="C7" s="23"/>
      <c r="D7" s="23"/>
      <c r="E7" s="22" t="n">
        <v>1</v>
      </c>
      <c r="F7" s="23"/>
      <c r="G7" s="23"/>
      <c r="H7" s="23"/>
      <c r="I7" s="23"/>
      <c r="J7" s="23"/>
      <c r="K7" s="23"/>
      <c r="L7" s="22" t="n">
        <v>1</v>
      </c>
      <c r="M7" s="23"/>
      <c r="N7" s="23"/>
      <c r="O7" s="23"/>
      <c r="P7" s="23"/>
      <c r="Q7" s="23"/>
      <c r="R7" s="26" t="s">
        <v>86</v>
      </c>
      <c r="S7" s="22" t="n">
        <v>1</v>
      </c>
      <c r="T7" s="23"/>
      <c r="U7" s="23"/>
      <c r="W7" s="4" t="s">
        <v>87</v>
      </c>
      <c r="X7" s="17" t="n">
        <f aca="false">X5-X4</f>
        <v>323</v>
      </c>
    </row>
    <row r="8" customFormat="false" ht="15" hidden="false" customHeight="false" outlineLevel="0" collapsed="false">
      <c r="A8" s="21" t="n">
        <v>15</v>
      </c>
      <c r="B8" s="23"/>
      <c r="C8" s="23"/>
      <c r="D8" s="22" t="n">
        <v>1</v>
      </c>
      <c r="E8" s="23"/>
      <c r="F8" s="22" t="n">
        <v>1</v>
      </c>
      <c r="G8" s="22" t="n">
        <v>1</v>
      </c>
      <c r="H8" s="23"/>
      <c r="I8" s="23"/>
      <c r="J8" s="23"/>
      <c r="K8" s="22" t="n">
        <v>1</v>
      </c>
      <c r="L8" s="22" t="n">
        <v>1</v>
      </c>
      <c r="M8" s="23"/>
      <c r="N8" s="23"/>
      <c r="O8" s="23"/>
      <c r="P8" s="22" t="n">
        <v>1</v>
      </c>
      <c r="Q8" s="23"/>
      <c r="R8" s="23"/>
      <c r="S8" s="23"/>
      <c r="T8" s="23"/>
      <c r="U8" s="23"/>
      <c r="W8" s="4" t="s">
        <v>88</v>
      </c>
      <c r="X8" s="27" t="s">
        <v>89</v>
      </c>
    </row>
    <row r="9" customFormat="false" ht="15" hidden="false" customHeight="false" outlineLevel="0" collapsed="false">
      <c r="A9" s="21" t="n">
        <v>14</v>
      </c>
      <c r="B9" s="22" t="n">
        <v>1</v>
      </c>
      <c r="C9" s="23"/>
      <c r="D9" s="23"/>
      <c r="E9" s="22" t="n">
        <v>1</v>
      </c>
      <c r="F9" s="22" t="n">
        <v>1</v>
      </c>
      <c r="G9" s="23"/>
      <c r="H9" s="23"/>
      <c r="I9" s="23"/>
      <c r="J9" s="23"/>
      <c r="K9" s="22" t="n">
        <v>1</v>
      </c>
      <c r="L9" s="23"/>
      <c r="M9" s="23"/>
      <c r="N9" s="23"/>
      <c r="O9" s="23"/>
      <c r="P9" s="23"/>
      <c r="Q9" s="23"/>
      <c r="R9" s="23"/>
      <c r="S9" s="23"/>
      <c r="T9" s="23"/>
      <c r="U9" s="23"/>
      <c r="W9" s="4" t="s">
        <v>90</v>
      </c>
      <c r="X9" s="27" t="s">
        <v>91</v>
      </c>
    </row>
    <row r="10" customFormat="false" ht="15" hidden="false" customHeight="false" outlineLevel="0" collapsed="false">
      <c r="A10" s="21" t="n">
        <v>13</v>
      </c>
      <c r="B10" s="23"/>
      <c r="C10" s="22" t="n">
        <v>1</v>
      </c>
      <c r="D10" s="23"/>
      <c r="E10" s="23"/>
      <c r="F10" s="23"/>
      <c r="G10" s="23"/>
      <c r="H10" s="23"/>
      <c r="I10" s="22" t="n">
        <v>1</v>
      </c>
      <c r="J10" s="23"/>
      <c r="K10" s="23"/>
      <c r="L10" s="22" t="n">
        <v>1</v>
      </c>
      <c r="M10" s="23"/>
      <c r="N10" s="22" t="n">
        <v>1</v>
      </c>
      <c r="O10" s="23"/>
      <c r="P10" s="23"/>
      <c r="Q10" s="22" t="n">
        <v>1</v>
      </c>
      <c r="R10" s="23"/>
      <c r="S10" s="23"/>
      <c r="T10" s="22" t="n">
        <v>1</v>
      </c>
      <c r="U10" s="23"/>
    </row>
    <row r="11" customFormat="false" ht="15" hidden="false" customHeight="false" outlineLevel="0" collapsed="false">
      <c r="A11" s="21" t="n">
        <v>12</v>
      </c>
      <c r="B11" s="23"/>
      <c r="C11" s="23"/>
      <c r="D11" s="23"/>
      <c r="E11" s="22" t="n">
        <v>1</v>
      </c>
      <c r="F11" s="23"/>
      <c r="G11" s="23"/>
      <c r="H11" s="23"/>
      <c r="I11" s="23"/>
      <c r="J11" s="22" t="n">
        <v>1</v>
      </c>
      <c r="K11" s="23"/>
      <c r="L11" s="23"/>
      <c r="M11" s="23"/>
      <c r="N11" s="23"/>
      <c r="O11" s="23"/>
      <c r="P11" s="22" t="n">
        <v>1</v>
      </c>
      <c r="Q11" s="22" t="n">
        <v>1</v>
      </c>
      <c r="R11" s="23"/>
      <c r="S11" s="22" t="n">
        <v>1</v>
      </c>
      <c r="T11" s="22" t="n">
        <v>1</v>
      </c>
      <c r="U11" s="23"/>
    </row>
    <row r="12" customFormat="false" ht="15" hidden="false" customHeight="false" outlineLevel="0" collapsed="false">
      <c r="A12" s="21" t="n">
        <v>11</v>
      </c>
      <c r="B12" s="23"/>
      <c r="C12" s="23"/>
      <c r="D12" s="23"/>
      <c r="E12" s="23"/>
      <c r="F12" s="23"/>
      <c r="G12" s="23"/>
      <c r="H12" s="22" t="n">
        <v>1</v>
      </c>
      <c r="I12" s="22" t="n">
        <v>1</v>
      </c>
      <c r="J12" s="23"/>
      <c r="K12" s="23"/>
      <c r="L12" s="23"/>
      <c r="M12" s="23"/>
      <c r="N12" s="22" t="n">
        <v>1</v>
      </c>
      <c r="O12" s="23"/>
      <c r="P12" s="22" t="n">
        <v>1</v>
      </c>
      <c r="Q12" s="23"/>
      <c r="R12" s="23"/>
      <c r="S12" s="23"/>
      <c r="T12" s="23"/>
      <c r="U12" s="23"/>
    </row>
    <row r="13" customFormat="false" ht="15" hidden="false" customHeight="false" outlineLevel="0" collapsed="false">
      <c r="A13" s="21" t="n">
        <v>10</v>
      </c>
      <c r="B13" s="23"/>
      <c r="C13" s="23"/>
      <c r="D13" s="23"/>
      <c r="E13" s="23"/>
      <c r="F13" s="23"/>
      <c r="G13" s="23"/>
      <c r="H13" s="23"/>
      <c r="I13" s="22" t="n">
        <v>1</v>
      </c>
      <c r="J13" s="23"/>
      <c r="K13" s="23"/>
      <c r="L13" s="23"/>
      <c r="M13" s="23"/>
      <c r="N13" s="23"/>
      <c r="O13" s="22" t="n">
        <v>1</v>
      </c>
      <c r="P13" s="23"/>
      <c r="Q13" s="23"/>
      <c r="R13" s="23"/>
      <c r="S13" s="23"/>
      <c r="T13" s="23"/>
      <c r="U13" s="22" t="n">
        <v>1</v>
      </c>
    </row>
    <row r="14" customFormat="false" ht="15" hidden="false" customHeight="false" outlineLevel="0" collapsed="false">
      <c r="A14" s="21" t="n">
        <v>9</v>
      </c>
      <c r="B14" s="22" t="n">
        <v>1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2" t="n">
        <v>1</v>
      </c>
      <c r="S14" s="22" t="n">
        <v>1</v>
      </c>
      <c r="T14" s="23"/>
      <c r="U14" s="23"/>
    </row>
    <row r="15" customFormat="false" ht="15" hidden="false" customHeight="false" outlineLevel="0" collapsed="false">
      <c r="A15" s="21" t="n">
        <v>8</v>
      </c>
      <c r="B15" s="22" t="n">
        <v>1</v>
      </c>
      <c r="C15" s="23"/>
      <c r="D15" s="23"/>
      <c r="E15" s="23"/>
      <c r="F15" s="23"/>
      <c r="G15" s="23"/>
      <c r="H15" s="23"/>
      <c r="I15" s="23"/>
      <c r="J15" s="23"/>
      <c r="K15" s="23"/>
      <c r="L15" s="22" t="n">
        <v>1</v>
      </c>
      <c r="M15" s="23"/>
      <c r="N15" s="23"/>
      <c r="O15" s="23"/>
      <c r="P15" s="23"/>
      <c r="Q15" s="23"/>
      <c r="R15" s="22" t="n">
        <v>1</v>
      </c>
      <c r="S15" s="23"/>
      <c r="T15" s="23"/>
      <c r="U15" s="23"/>
    </row>
    <row r="16" customFormat="false" ht="15" hidden="false" customHeight="false" outlineLevel="0" collapsed="false">
      <c r="A16" s="21" t="n">
        <v>7</v>
      </c>
      <c r="B16" s="23"/>
      <c r="C16" s="23"/>
      <c r="D16" s="22" t="n">
        <v>1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2" t="n">
        <v>1</v>
      </c>
      <c r="Q16" s="22" t="n">
        <v>1</v>
      </c>
      <c r="R16" s="23"/>
      <c r="S16" s="23"/>
      <c r="T16" s="23"/>
      <c r="U16" s="22" t="n">
        <v>1</v>
      </c>
    </row>
    <row r="17" customFormat="false" ht="15" hidden="false" customHeight="false" outlineLevel="0" collapsed="false">
      <c r="A17" s="21" t="n">
        <v>6</v>
      </c>
      <c r="B17" s="23"/>
      <c r="C17" s="23"/>
      <c r="D17" s="23"/>
      <c r="E17" s="23"/>
      <c r="F17" s="22" t="n">
        <v>1</v>
      </c>
      <c r="G17" s="23"/>
      <c r="H17" s="23"/>
      <c r="I17" s="23"/>
      <c r="J17" s="22" t="n">
        <v>1</v>
      </c>
      <c r="K17" s="22" t="n">
        <v>1</v>
      </c>
      <c r="L17" s="23"/>
      <c r="M17" s="23"/>
      <c r="N17" s="23"/>
      <c r="O17" s="22" t="n">
        <v>1</v>
      </c>
      <c r="P17" s="23"/>
      <c r="Q17" s="23"/>
      <c r="R17" s="23"/>
      <c r="S17" s="23"/>
      <c r="T17" s="23"/>
      <c r="U17" s="22" t="n">
        <v>1</v>
      </c>
    </row>
    <row r="18" customFormat="false" ht="15" hidden="false" customHeight="false" outlineLevel="0" collapsed="false">
      <c r="A18" s="21" t="n">
        <v>5</v>
      </c>
      <c r="B18" s="23"/>
      <c r="C18" s="23"/>
      <c r="D18" s="23"/>
      <c r="E18" s="23"/>
      <c r="F18" s="23"/>
      <c r="G18" s="23"/>
      <c r="H18" s="23"/>
      <c r="I18" s="23"/>
      <c r="J18" s="22" t="n">
        <v>1</v>
      </c>
      <c r="K18" s="22" t="n">
        <v>1</v>
      </c>
      <c r="L18" s="23"/>
      <c r="M18" s="28" t="s">
        <v>92</v>
      </c>
      <c r="N18" s="23"/>
      <c r="O18" s="23"/>
      <c r="P18" s="23"/>
      <c r="Q18" s="23"/>
      <c r="R18" s="23"/>
      <c r="S18" s="23"/>
      <c r="T18" s="23"/>
      <c r="U18" s="23"/>
    </row>
    <row r="19" customFormat="false" ht="15" hidden="false" customHeight="false" outlineLevel="0" collapsed="false">
      <c r="A19" s="21" t="n">
        <v>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2" t="n">
        <v>1</v>
      </c>
      <c r="M19" s="23"/>
      <c r="N19" s="22" t="n">
        <v>1</v>
      </c>
      <c r="O19" s="23"/>
      <c r="P19" s="23"/>
      <c r="Q19" s="23"/>
      <c r="R19" s="23"/>
      <c r="S19" s="23"/>
      <c r="T19" s="23"/>
      <c r="U19" s="23"/>
    </row>
    <row r="20" customFormat="false" ht="15" hidden="false" customHeight="false" outlineLevel="0" collapsed="false">
      <c r="A20" s="21" t="n">
        <v>3</v>
      </c>
      <c r="B20" s="23"/>
      <c r="C20" s="23"/>
      <c r="D20" s="23"/>
      <c r="E20" s="22" t="n">
        <v>1</v>
      </c>
      <c r="F20" s="22" t="n">
        <v>1</v>
      </c>
      <c r="G20" s="22" t="n">
        <v>1</v>
      </c>
      <c r="H20" s="23"/>
      <c r="I20" s="23"/>
      <c r="J20" s="22" t="n">
        <v>1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customFormat="false" ht="15" hidden="false" customHeight="false" outlineLevel="0" collapsed="false">
      <c r="A21" s="21" t="n">
        <v>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2" t="n">
        <v>1</v>
      </c>
      <c r="P21" s="23"/>
      <c r="Q21" s="22" t="n">
        <v>1</v>
      </c>
      <c r="R21" s="23"/>
      <c r="S21" s="23"/>
      <c r="T21" s="23"/>
      <c r="U21" s="23"/>
    </row>
    <row r="22" customFormat="false" ht="15" hidden="false" customHeight="false" outlineLevel="0" collapsed="false">
      <c r="A22" s="21" t="n">
        <v>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2" t="n">
        <v>1</v>
      </c>
      <c r="N22" s="23"/>
      <c r="O22" s="23"/>
      <c r="P22" s="23"/>
      <c r="Q22" s="23"/>
      <c r="R22" s="23"/>
      <c r="S22" s="23"/>
      <c r="T22" s="23"/>
      <c r="U22" s="23"/>
    </row>
    <row r="23" customFormat="false" ht="15" hidden="false" customHeight="false" outlineLevel="0" collapsed="false">
      <c r="A23" s="21" t="n">
        <v>0</v>
      </c>
      <c r="B23" s="23"/>
      <c r="C23" s="23"/>
      <c r="D23" s="23"/>
      <c r="E23" s="23"/>
      <c r="F23" s="22" t="n">
        <v>1</v>
      </c>
      <c r="G23" s="23"/>
      <c r="H23" s="23"/>
      <c r="I23" s="23"/>
      <c r="J23" s="23"/>
      <c r="K23" s="23"/>
      <c r="L23" s="23"/>
      <c r="M23" s="22" t="n">
        <v>1</v>
      </c>
      <c r="N23" s="22" t="n">
        <v>1</v>
      </c>
      <c r="O23" s="23"/>
      <c r="P23" s="22" t="n">
        <v>1</v>
      </c>
      <c r="Q23" s="23"/>
      <c r="R23" s="22" t="n">
        <v>1</v>
      </c>
      <c r="S23" s="23"/>
      <c r="T23" s="23"/>
      <c r="U23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</row>
    <row r="5" customFormat="false" ht="15" hidden="false" customHeight="false" outlineLevel="0" collapsed="false">
      <c r="A5" s="23" t="n">
        <v>0</v>
      </c>
      <c r="B5" s="29" t="n">
        <v>11.5</v>
      </c>
      <c r="C5" s="29" t="n">
        <v>5.5</v>
      </c>
      <c r="D5" s="4"/>
      <c r="E5" s="30" t="n">
        <v>0</v>
      </c>
      <c r="F5" s="4" t="s">
        <v>101</v>
      </c>
    </row>
    <row r="6" customFormat="false" ht="15" hidden="false" customHeight="false" outlineLevel="0" collapsed="false">
      <c r="A6" s="23" t="n">
        <v>1</v>
      </c>
      <c r="B6" s="29" t="n">
        <v>9.999991</v>
      </c>
      <c r="C6" s="29" t="n">
        <v>8.09253</v>
      </c>
      <c r="D6" s="30" t="n">
        <f aca="false">SQRT((B6-B5)^2+(C6-C5)^2)</f>
        <v>2.99520263103868</v>
      </c>
      <c r="E6" s="30" t="n">
        <f aca="false">E5+D6</f>
        <v>2.99520263103868</v>
      </c>
      <c r="F6" s="4" t="s">
        <v>102</v>
      </c>
    </row>
    <row r="7" customFormat="false" ht="15" hidden="false" customHeight="false" outlineLevel="0" collapsed="false">
      <c r="A7" s="23" t="n">
        <v>2</v>
      </c>
      <c r="B7" s="29" t="n">
        <v>9.999986</v>
      </c>
      <c r="C7" s="29" t="n">
        <v>8.848229</v>
      </c>
      <c r="D7" s="30" t="n">
        <f aca="false">SQRT((B7-B6)^2+(C7-C6)^2)</f>
        <v>0.755699000016541</v>
      </c>
      <c r="E7" s="30" t="n">
        <f aca="false">E6+D7</f>
        <v>3.75090163105522</v>
      </c>
      <c r="F7" s="4" t="s">
        <v>102</v>
      </c>
    </row>
    <row r="8" customFormat="false" ht="15" hidden="false" customHeight="false" outlineLevel="0" collapsed="false">
      <c r="A8" s="23" t="n">
        <v>3</v>
      </c>
      <c r="B8" s="29" t="n">
        <v>10.105744</v>
      </c>
      <c r="C8" s="29" t="n">
        <v>9.151776</v>
      </c>
      <c r="D8" s="30" t="n">
        <f aca="false">SQRT((B8-B7)^2+(C8-C7)^2)</f>
        <v>0.321442896597514</v>
      </c>
      <c r="E8" s="30" t="n">
        <f aca="false">E7+D8</f>
        <v>4.07234452765273</v>
      </c>
      <c r="F8" s="4" t="s">
        <v>102</v>
      </c>
    </row>
    <row r="9" customFormat="false" ht="15" hidden="false" customHeight="false" outlineLevel="0" collapsed="false">
      <c r="A9" s="23" t="n">
        <v>4</v>
      </c>
      <c r="B9" s="29" t="n">
        <v>10.237788</v>
      </c>
      <c r="C9" s="29" t="n">
        <v>9.484278</v>
      </c>
      <c r="D9" s="30" t="n">
        <f aca="false">SQRT((B9-B8)^2+(C9-C8)^2)</f>
        <v>0.357761370105829</v>
      </c>
      <c r="E9" s="30" t="n">
        <f aca="false">E8+D9</f>
        <v>4.43010589775856</v>
      </c>
      <c r="F9" s="4" t="s">
        <v>102</v>
      </c>
    </row>
    <row r="10" customFormat="false" ht="15" hidden="false" customHeight="false" outlineLevel="0" collapsed="false">
      <c r="A10" s="23" t="n">
        <v>5</v>
      </c>
      <c r="B10" s="29" t="n">
        <v>11.118813</v>
      </c>
      <c r="C10" s="29" t="n">
        <v>11.692828</v>
      </c>
      <c r="D10" s="30" t="n">
        <f aca="false">SQRT((B10-B9)^2+(C10-C9)^2)</f>
        <v>2.37779270608794</v>
      </c>
      <c r="E10" s="30" t="n">
        <f aca="false">E9+D10</f>
        <v>6.8078986038465</v>
      </c>
      <c r="F10" s="4" t="s">
        <v>102</v>
      </c>
    </row>
    <row r="11" customFormat="false" ht="15" hidden="false" customHeight="false" outlineLevel="0" collapsed="false">
      <c r="A11" s="23" t="n">
        <v>6</v>
      </c>
      <c r="B11" s="29" t="n">
        <v>12.040045</v>
      </c>
      <c r="C11" s="29" t="n">
        <v>14.000001</v>
      </c>
      <c r="D11" s="30" t="n">
        <f aca="false">SQRT((B11-B10)^2+(C11-C10)^2)</f>
        <v>2.4842937929627</v>
      </c>
      <c r="E11" s="30" t="n">
        <f aca="false">E10+D11</f>
        <v>9.2921923968092</v>
      </c>
      <c r="F11" s="4" t="s">
        <v>102</v>
      </c>
    </row>
    <row r="12" customFormat="false" ht="15" hidden="false" customHeight="false" outlineLevel="0" collapsed="false">
      <c r="A12" s="23" t="n">
        <v>7</v>
      </c>
      <c r="B12" s="29" t="n">
        <v>14.075348</v>
      </c>
      <c r="C12" s="29" t="n">
        <v>16.000006</v>
      </c>
      <c r="D12" s="30" t="n">
        <f aca="false">SQRT((B12-B11)^2+(C12-C11)^2)</f>
        <v>2.8535028126557</v>
      </c>
      <c r="E12" s="30" t="n">
        <f aca="false">E11+D12</f>
        <v>12.1456952094649</v>
      </c>
      <c r="F12" s="4" t="s">
        <v>102</v>
      </c>
    </row>
    <row r="13" customFormat="false" ht="15" hidden="false" customHeight="false" outlineLevel="0" collapsed="false">
      <c r="A13" s="23" t="n">
        <v>8</v>
      </c>
      <c r="B13" s="29" t="n">
        <v>16.266589</v>
      </c>
      <c r="C13" s="29" t="n">
        <v>16.452115</v>
      </c>
      <c r="D13" s="30" t="n">
        <f aca="false">SQRT((B13-B12)^2+(C13-C12)^2)</f>
        <v>2.23739573342804</v>
      </c>
      <c r="E13" s="30" t="n">
        <f aca="false">E12+D13</f>
        <v>14.3830909428929</v>
      </c>
      <c r="F13" s="4" t="s">
        <v>102</v>
      </c>
    </row>
    <row r="14" customFormat="false" ht="15" hidden="false" customHeight="false" outlineLevel="0" collapsed="false">
      <c r="A14" s="23" t="n">
        <v>9</v>
      </c>
      <c r="B14" s="29" t="n">
        <v>16.5</v>
      </c>
      <c r="C14" s="29" t="n">
        <v>16.5</v>
      </c>
      <c r="D14" s="30" t="n">
        <f aca="false">SQRT((B14-B13)^2+(C14-C13)^2)</f>
        <v>0.238272256349748</v>
      </c>
      <c r="E14" s="30" t="n">
        <f aca="false">E13+D14</f>
        <v>14.6213631992427</v>
      </c>
      <c r="F14" s="4" t="s">
        <v>103</v>
      </c>
    </row>
    <row r="16" customFormat="false" ht="15" hidden="false" customHeight="false" outlineLevel="0" collapsed="false">
      <c r="A16" s="31" t="s">
        <v>104</v>
      </c>
      <c r="D16" s="32" t="n">
        <f aca="false">SUM(D6:D14)</f>
        <v>14.6213631992427</v>
      </c>
    </row>
    <row r="17" customFormat="false" ht="15" hidden="false" customHeight="false" outlineLevel="0" collapsed="false">
      <c r="A17" s="33" t="s">
        <v>105</v>
      </c>
      <c r="D17" s="29" t="n">
        <v>14.621363</v>
      </c>
    </row>
    <row r="18" customFormat="false" ht="15" hidden="false" customHeight="false" outlineLevel="0" collapsed="false">
      <c r="A18" s="33" t="s">
        <v>106</v>
      </c>
      <c r="D18" s="34" t="str">
        <f aca="false">IF(ABS(D16-D17)&lt;0.001,"OK","MISMATCH")</f>
        <v>OK</v>
      </c>
    </row>
    <row r="19" customFormat="false" ht="15" hidden="false" customHeight="false" outlineLevel="0" collapsed="false">
      <c r="A19" s="33" t="s">
        <v>107</v>
      </c>
      <c r="D19" s="30" t="n">
        <f aca="false">MAX(D6:D14)</f>
        <v>2.99520263103868</v>
      </c>
    </row>
    <row r="20" customFormat="false" ht="15" hidden="false" customHeight="false" outlineLevel="0" collapsed="false">
      <c r="A20" s="33" t="s">
        <v>108</v>
      </c>
      <c r="D20" s="30" t="n">
        <f aca="false">AVERAGE(D6:D14)</f>
        <v>1.62459591102697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4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3" t="s">
        <v>110</v>
      </c>
      <c r="B3" s="3" t="s">
        <v>111</v>
      </c>
      <c r="D3" s="35" t="s">
        <v>112</v>
      </c>
      <c r="E3" s="35" t="s">
        <v>3</v>
      </c>
    </row>
    <row r="4" customFormat="false" ht="15" hidden="false" customHeight="false" outlineLevel="0" collapsed="false">
      <c r="A4" s="23" t="n">
        <v>0</v>
      </c>
      <c r="B4" s="29" t="n">
        <v>1631.478169</v>
      </c>
      <c r="D4" s="4" t="s">
        <v>113</v>
      </c>
      <c r="E4" s="30" t="n">
        <f aca="false">B4</f>
        <v>1631.478169</v>
      </c>
    </row>
    <row r="5" customFormat="false" ht="15" hidden="false" customHeight="false" outlineLevel="0" collapsed="false">
      <c r="A5" s="23" t="n">
        <v>1</v>
      </c>
      <c r="B5" s="29" t="n">
        <v>777.979823</v>
      </c>
      <c r="D5" s="4" t="s">
        <v>32</v>
      </c>
      <c r="E5" s="30" t="n">
        <f aca="false">B304</f>
        <v>14.621363</v>
      </c>
    </row>
    <row r="6" customFormat="false" ht="15" hidden="false" customHeight="false" outlineLevel="0" collapsed="false">
      <c r="A6" s="23" t="n">
        <v>2</v>
      </c>
      <c r="B6" s="29" t="n">
        <v>777.979823</v>
      </c>
      <c r="D6" s="4" t="s">
        <v>114</v>
      </c>
      <c r="E6" s="30" t="n">
        <f aca="false">E4-E5</f>
        <v>1616.856806</v>
      </c>
    </row>
    <row r="7" customFormat="false" ht="15" hidden="false" customHeight="false" outlineLevel="0" collapsed="false">
      <c r="A7" s="23" t="n">
        <v>3</v>
      </c>
      <c r="B7" s="29" t="n">
        <v>777.979823</v>
      </c>
      <c r="D7" s="4" t="s">
        <v>115</v>
      </c>
      <c r="E7" s="25" t="n">
        <f aca="false">IF(E4=0,0,E6/E4)</f>
        <v>0.991037965890183</v>
      </c>
    </row>
    <row r="8" customFormat="false" ht="15" hidden="false" customHeight="false" outlineLevel="0" collapsed="false">
      <c r="A8" s="23" t="n">
        <v>4</v>
      </c>
      <c r="B8" s="29" t="n">
        <v>777.979823</v>
      </c>
      <c r="D8" s="4" t="s">
        <v>116</v>
      </c>
      <c r="E8" s="17" t="n">
        <f aca="false">INDEX(A4:A304,MATCH(E5,B4:B304,0)-0)</f>
        <v>300</v>
      </c>
    </row>
    <row r="9" customFormat="false" ht="15" hidden="false" customHeight="false" outlineLevel="0" collapsed="false">
      <c r="A9" s="23" t="n">
        <v>5</v>
      </c>
      <c r="B9" s="29" t="n">
        <v>777.979823</v>
      </c>
      <c r="D9" s="4" t="s">
        <v>117</v>
      </c>
      <c r="E9" s="17" t="n">
        <f aca="false">INDEX(A4:A304,MATCH(TRUE(),INDEX(B4:B304&lt;100,0),0))</f>
        <v>15</v>
      </c>
    </row>
    <row r="10" customFormat="false" ht="15" hidden="false" customHeight="false" outlineLevel="0" collapsed="false">
      <c r="A10" s="23" t="n">
        <v>6</v>
      </c>
      <c r="B10" s="29" t="n">
        <v>777.979823</v>
      </c>
    </row>
    <row r="11" customFormat="false" ht="15" hidden="false" customHeight="false" outlineLevel="0" collapsed="false">
      <c r="A11" s="23" t="n">
        <v>7</v>
      </c>
      <c r="B11" s="29" t="n">
        <v>633.327111</v>
      </c>
      <c r="D11" s="15" t="s">
        <v>118</v>
      </c>
      <c r="E11" s="16"/>
    </row>
    <row r="12" customFormat="false" ht="15" hidden="false" customHeight="false" outlineLevel="0" collapsed="false">
      <c r="A12" s="23" t="n">
        <v>8</v>
      </c>
      <c r="B12" s="29" t="n">
        <v>633.327111</v>
      </c>
      <c r="D12" s="3" t="s">
        <v>119</v>
      </c>
      <c r="E12" s="3" t="s">
        <v>120</v>
      </c>
    </row>
    <row r="13" customFormat="false" ht="15" hidden="false" customHeight="false" outlineLevel="0" collapsed="false">
      <c r="A13" s="23" t="n">
        <v>9</v>
      </c>
      <c r="B13" s="29" t="n">
        <v>281.012087</v>
      </c>
      <c r="D13" s="4" t="s">
        <v>121</v>
      </c>
      <c r="E13" s="29" t="n">
        <v>19.025</v>
      </c>
    </row>
    <row r="14" customFormat="false" ht="15" hidden="false" customHeight="false" outlineLevel="0" collapsed="false">
      <c r="A14" s="23" t="n">
        <v>10</v>
      </c>
      <c r="B14" s="29" t="n">
        <v>281.012087</v>
      </c>
      <c r="D14" s="4" t="s">
        <v>122</v>
      </c>
      <c r="E14" s="30" t="n">
        <f aca="false">E5</f>
        <v>14.621363</v>
      </c>
    </row>
    <row r="15" customFormat="false" ht="15" hidden="false" customHeight="false" outlineLevel="0" collapsed="false">
      <c r="A15" s="23" t="n">
        <v>11</v>
      </c>
      <c r="B15" s="29" t="n">
        <v>281.012087</v>
      </c>
      <c r="D15" s="34" t="s">
        <v>123</v>
      </c>
      <c r="E15" s="32" t="n">
        <f aca="false">MIN(E13:E14)</f>
        <v>14.621363</v>
      </c>
    </row>
    <row r="16" customFormat="false" ht="15" hidden="false" customHeight="false" outlineLevel="0" collapsed="false">
      <c r="A16" s="23" t="n">
        <v>12</v>
      </c>
      <c r="B16" s="29" t="n">
        <v>281.012087</v>
      </c>
      <c r="D16" s="36" t="s">
        <v>124</v>
      </c>
    </row>
    <row r="17" customFormat="false" ht="15" hidden="false" customHeight="false" outlineLevel="0" collapsed="false">
      <c r="A17" s="23" t="n">
        <v>13</v>
      </c>
      <c r="B17" s="29" t="n">
        <v>281.012087</v>
      </c>
    </row>
    <row r="18" customFormat="false" ht="15" hidden="false" customHeight="false" outlineLevel="0" collapsed="false">
      <c r="A18" s="23" t="n">
        <v>14</v>
      </c>
      <c r="B18" s="29" t="n">
        <v>281.012087</v>
      </c>
    </row>
    <row r="19" customFormat="false" ht="15" hidden="false" customHeight="false" outlineLevel="0" collapsed="false">
      <c r="A19" s="23" t="n">
        <v>15</v>
      </c>
      <c r="B19" s="29" t="n">
        <v>37.717296</v>
      </c>
    </row>
    <row r="20" customFormat="false" ht="15" hidden="false" customHeight="false" outlineLevel="0" collapsed="false">
      <c r="A20" s="23" t="n">
        <v>16</v>
      </c>
      <c r="B20" s="29" t="n">
        <v>37.717296</v>
      </c>
    </row>
    <row r="21" customFormat="false" ht="15" hidden="false" customHeight="false" outlineLevel="0" collapsed="false">
      <c r="A21" s="23" t="n">
        <v>17</v>
      </c>
      <c r="B21" s="29" t="n">
        <v>37.717296</v>
      </c>
    </row>
    <row r="22" customFormat="false" ht="15" hidden="false" customHeight="false" outlineLevel="0" collapsed="false">
      <c r="A22" s="23" t="n">
        <v>18</v>
      </c>
      <c r="B22" s="29" t="n">
        <v>37.717296</v>
      </c>
    </row>
    <row r="23" customFormat="false" ht="15" hidden="false" customHeight="false" outlineLevel="0" collapsed="false">
      <c r="A23" s="23" t="n">
        <v>19</v>
      </c>
      <c r="B23" s="29" t="n">
        <v>37.717296</v>
      </c>
    </row>
    <row r="24" customFormat="false" ht="15" hidden="false" customHeight="false" outlineLevel="0" collapsed="false">
      <c r="A24" s="23" t="n">
        <v>20</v>
      </c>
      <c r="B24" s="29" t="n">
        <v>37.717296</v>
      </c>
    </row>
    <row r="25" customFormat="false" ht="15" hidden="false" customHeight="false" outlineLevel="0" collapsed="false">
      <c r="A25" s="23" t="n">
        <v>21</v>
      </c>
      <c r="B25" s="29" t="n">
        <v>37.717296</v>
      </c>
    </row>
    <row r="26" customFormat="false" ht="15" hidden="false" customHeight="false" outlineLevel="0" collapsed="false">
      <c r="A26" s="23" t="n">
        <v>22</v>
      </c>
      <c r="B26" s="29" t="n">
        <v>37.717296</v>
      </c>
    </row>
    <row r="27" customFormat="false" ht="15" hidden="false" customHeight="false" outlineLevel="0" collapsed="false">
      <c r="A27" s="23" t="n">
        <v>23</v>
      </c>
      <c r="B27" s="29" t="n">
        <v>37.717296</v>
      </c>
    </row>
    <row r="28" customFormat="false" ht="15" hidden="false" customHeight="false" outlineLevel="0" collapsed="false">
      <c r="A28" s="23" t="n">
        <v>24</v>
      </c>
      <c r="B28" s="29" t="n">
        <v>37.717296</v>
      </c>
    </row>
    <row r="29" customFormat="false" ht="15" hidden="false" customHeight="false" outlineLevel="0" collapsed="false">
      <c r="A29" s="23" t="n">
        <v>25</v>
      </c>
      <c r="B29" s="29" t="n">
        <v>37.717296</v>
      </c>
    </row>
    <row r="30" customFormat="false" ht="15" hidden="false" customHeight="false" outlineLevel="0" collapsed="false">
      <c r="A30" s="23" t="n">
        <v>26</v>
      </c>
      <c r="B30" s="29" t="n">
        <v>37.717296</v>
      </c>
    </row>
    <row r="31" customFormat="false" ht="15" hidden="false" customHeight="false" outlineLevel="0" collapsed="false">
      <c r="A31" s="23" t="n">
        <v>27</v>
      </c>
      <c r="B31" s="29" t="n">
        <v>37.717296</v>
      </c>
    </row>
    <row r="32" customFormat="false" ht="15" hidden="false" customHeight="false" outlineLevel="0" collapsed="false">
      <c r="A32" s="23" t="n">
        <v>28</v>
      </c>
      <c r="B32" s="29" t="n">
        <v>37.717296</v>
      </c>
    </row>
    <row r="33" customFormat="false" ht="15" hidden="false" customHeight="false" outlineLevel="0" collapsed="false">
      <c r="A33" s="23" t="n">
        <v>29</v>
      </c>
      <c r="B33" s="29" t="n">
        <v>37.717296</v>
      </c>
    </row>
    <row r="34" customFormat="false" ht="15" hidden="false" customHeight="false" outlineLevel="0" collapsed="false">
      <c r="A34" s="23" t="n">
        <v>30</v>
      </c>
      <c r="B34" s="29" t="n">
        <v>29.523814</v>
      </c>
    </row>
    <row r="35" customFormat="false" ht="15" hidden="false" customHeight="false" outlineLevel="0" collapsed="false">
      <c r="A35" s="23" t="n">
        <v>31</v>
      </c>
      <c r="B35" s="29" t="n">
        <v>29.523814</v>
      </c>
    </row>
    <row r="36" customFormat="false" ht="15" hidden="false" customHeight="false" outlineLevel="0" collapsed="false">
      <c r="A36" s="23" t="n">
        <v>32</v>
      </c>
      <c r="B36" s="29" t="n">
        <v>29.523814</v>
      </c>
    </row>
    <row r="37" customFormat="false" ht="15" hidden="false" customHeight="false" outlineLevel="0" collapsed="false">
      <c r="A37" s="23" t="n">
        <v>33</v>
      </c>
      <c r="B37" s="29" t="n">
        <v>29.374433</v>
      </c>
    </row>
    <row r="38" customFormat="false" ht="15" hidden="false" customHeight="false" outlineLevel="0" collapsed="false">
      <c r="A38" s="23" t="n">
        <v>34</v>
      </c>
      <c r="B38" s="29" t="n">
        <v>29.374433</v>
      </c>
    </row>
    <row r="39" customFormat="false" ht="15" hidden="false" customHeight="false" outlineLevel="0" collapsed="false">
      <c r="A39" s="23" t="n">
        <v>35</v>
      </c>
      <c r="B39" s="29" t="n">
        <v>29.374433</v>
      </c>
    </row>
    <row r="40" customFormat="false" ht="15" hidden="false" customHeight="false" outlineLevel="0" collapsed="false">
      <c r="A40" s="23" t="n">
        <v>36</v>
      </c>
      <c r="B40" s="29" t="n">
        <v>29.374433</v>
      </c>
    </row>
    <row r="41" customFormat="false" ht="15" hidden="false" customHeight="false" outlineLevel="0" collapsed="false">
      <c r="A41" s="23" t="n">
        <v>37</v>
      </c>
      <c r="B41" s="29" t="n">
        <v>29.374433</v>
      </c>
    </row>
    <row r="42" customFormat="false" ht="15" hidden="false" customHeight="false" outlineLevel="0" collapsed="false">
      <c r="A42" s="23" t="n">
        <v>38</v>
      </c>
      <c r="B42" s="29" t="n">
        <v>29.374433</v>
      </c>
    </row>
    <row r="43" customFormat="false" ht="15" hidden="false" customHeight="false" outlineLevel="0" collapsed="false">
      <c r="A43" s="23" t="n">
        <v>39</v>
      </c>
      <c r="B43" s="29" t="n">
        <v>29.374433</v>
      </c>
    </row>
    <row r="44" customFormat="false" ht="15" hidden="false" customHeight="false" outlineLevel="0" collapsed="false">
      <c r="A44" s="23" t="n">
        <v>40</v>
      </c>
      <c r="B44" s="29" t="n">
        <v>29.374433</v>
      </c>
    </row>
    <row r="45" customFormat="false" ht="15" hidden="false" customHeight="false" outlineLevel="0" collapsed="false">
      <c r="A45" s="23" t="n">
        <v>41</v>
      </c>
      <c r="B45" s="29" t="n">
        <v>29.374433</v>
      </c>
    </row>
    <row r="46" customFormat="false" ht="15" hidden="false" customHeight="false" outlineLevel="0" collapsed="false">
      <c r="A46" s="23" t="n">
        <v>42</v>
      </c>
      <c r="B46" s="29" t="n">
        <v>29.374433</v>
      </c>
    </row>
    <row r="47" customFormat="false" ht="15" hidden="false" customHeight="false" outlineLevel="0" collapsed="false">
      <c r="A47" s="23" t="n">
        <v>43</v>
      </c>
      <c r="B47" s="29" t="n">
        <v>29.374433</v>
      </c>
    </row>
    <row r="48" customFormat="false" ht="15" hidden="false" customHeight="false" outlineLevel="0" collapsed="false">
      <c r="A48" s="23" t="n">
        <v>44</v>
      </c>
      <c r="B48" s="29" t="n">
        <v>29.374433</v>
      </c>
    </row>
    <row r="49" customFormat="false" ht="15" hidden="false" customHeight="false" outlineLevel="0" collapsed="false">
      <c r="A49" s="23" t="n">
        <v>45</v>
      </c>
      <c r="B49" s="29" t="n">
        <v>25.978469</v>
      </c>
    </row>
    <row r="50" customFormat="false" ht="15" hidden="false" customHeight="false" outlineLevel="0" collapsed="false">
      <c r="A50" s="23" t="n">
        <v>46</v>
      </c>
      <c r="B50" s="29" t="n">
        <v>25.978469</v>
      </c>
    </row>
    <row r="51" customFormat="false" ht="15" hidden="false" customHeight="false" outlineLevel="0" collapsed="false">
      <c r="A51" s="23" t="n">
        <v>47</v>
      </c>
      <c r="B51" s="29" t="n">
        <v>25.978469</v>
      </c>
    </row>
    <row r="52" customFormat="false" ht="15" hidden="false" customHeight="false" outlineLevel="0" collapsed="false">
      <c r="A52" s="23" t="n">
        <v>48</v>
      </c>
      <c r="B52" s="29" t="n">
        <v>25.978469</v>
      </c>
    </row>
    <row r="53" customFormat="false" ht="15" hidden="false" customHeight="false" outlineLevel="0" collapsed="false">
      <c r="A53" s="23" t="n">
        <v>49</v>
      </c>
      <c r="B53" s="29" t="n">
        <v>25.978469</v>
      </c>
    </row>
    <row r="54" customFormat="false" ht="15" hidden="false" customHeight="false" outlineLevel="0" collapsed="false">
      <c r="A54" s="23" t="n">
        <v>50</v>
      </c>
      <c r="B54" s="29" t="n">
        <v>24.49752</v>
      </c>
    </row>
    <row r="55" customFormat="false" ht="15" hidden="false" customHeight="false" outlineLevel="0" collapsed="false">
      <c r="A55" s="23" t="n">
        <v>51</v>
      </c>
      <c r="B55" s="29" t="n">
        <v>24.49752</v>
      </c>
    </row>
    <row r="56" customFormat="false" ht="15" hidden="false" customHeight="false" outlineLevel="0" collapsed="false">
      <c r="A56" s="23" t="n">
        <v>52</v>
      </c>
      <c r="B56" s="29" t="n">
        <v>24.49752</v>
      </c>
    </row>
    <row r="57" customFormat="false" ht="15" hidden="false" customHeight="false" outlineLevel="0" collapsed="false">
      <c r="A57" s="23" t="n">
        <v>53</v>
      </c>
      <c r="B57" s="29" t="n">
        <v>24.49752</v>
      </c>
    </row>
    <row r="58" customFormat="false" ht="15" hidden="false" customHeight="false" outlineLevel="0" collapsed="false">
      <c r="A58" s="23" t="n">
        <v>54</v>
      </c>
      <c r="B58" s="29" t="n">
        <v>24.49752</v>
      </c>
    </row>
    <row r="59" customFormat="false" ht="15" hidden="false" customHeight="false" outlineLevel="0" collapsed="false">
      <c r="A59" s="23" t="n">
        <v>55</v>
      </c>
      <c r="B59" s="29" t="n">
        <v>24.49752</v>
      </c>
    </row>
    <row r="60" customFormat="false" ht="15" hidden="false" customHeight="false" outlineLevel="0" collapsed="false">
      <c r="A60" s="23" t="n">
        <v>56</v>
      </c>
      <c r="B60" s="29" t="n">
        <v>23.086845</v>
      </c>
    </row>
    <row r="61" customFormat="false" ht="15" hidden="false" customHeight="false" outlineLevel="0" collapsed="false">
      <c r="A61" s="23" t="n">
        <v>57</v>
      </c>
      <c r="B61" s="29" t="n">
        <v>23.086845</v>
      </c>
    </row>
    <row r="62" customFormat="false" ht="15" hidden="false" customHeight="false" outlineLevel="0" collapsed="false">
      <c r="A62" s="23" t="n">
        <v>58</v>
      </c>
      <c r="B62" s="29" t="n">
        <v>23.086845</v>
      </c>
    </row>
    <row r="63" customFormat="false" ht="15" hidden="false" customHeight="false" outlineLevel="0" collapsed="false">
      <c r="A63" s="23" t="n">
        <v>59</v>
      </c>
      <c r="B63" s="29" t="n">
        <v>23.086845</v>
      </c>
    </row>
    <row r="64" customFormat="false" ht="15" hidden="false" customHeight="false" outlineLevel="0" collapsed="false">
      <c r="A64" s="23" t="n">
        <v>60</v>
      </c>
      <c r="B64" s="29" t="n">
        <v>23.086845</v>
      </c>
    </row>
    <row r="65" customFormat="false" ht="15" hidden="false" customHeight="false" outlineLevel="0" collapsed="false">
      <c r="A65" s="23" t="n">
        <v>61</v>
      </c>
      <c r="B65" s="29" t="n">
        <v>23.086845</v>
      </c>
    </row>
    <row r="66" customFormat="false" ht="15" hidden="false" customHeight="false" outlineLevel="0" collapsed="false">
      <c r="A66" s="23" t="n">
        <v>62</v>
      </c>
      <c r="B66" s="29" t="n">
        <v>23.086845</v>
      </c>
    </row>
    <row r="67" customFormat="false" ht="15" hidden="false" customHeight="false" outlineLevel="0" collapsed="false">
      <c r="A67" s="23" t="n">
        <v>63</v>
      </c>
      <c r="B67" s="29" t="n">
        <v>23.086845</v>
      </c>
    </row>
    <row r="68" customFormat="false" ht="15" hidden="false" customHeight="false" outlineLevel="0" collapsed="false">
      <c r="A68" s="23" t="n">
        <v>64</v>
      </c>
      <c r="B68" s="29" t="n">
        <v>23.086845</v>
      </c>
    </row>
    <row r="69" customFormat="false" ht="15" hidden="false" customHeight="false" outlineLevel="0" collapsed="false">
      <c r="A69" s="23" t="n">
        <v>65</v>
      </c>
      <c r="B69" s="29" t="n">
        <v>23.086845</v>
      </c>
    </row>
    <row r="70" customFormat="false" ht="15" hidden="false" customHeight="false" outlineLevel="0" collapsed="false">
      <c r="A70" s="23" t="n">
        <v>66</v>
      </c>
      <c r="B70" s="29" t="n">
        <v>21.534831</v>
      </c>
    </row>
    <row r="71" customFormat="false" ht="15" hidden="false" customHeight="false" outlineLevel="0" collapsed="false">
      <c r="A71" s="23" t="n">
        <v>67</v>
      </c>
      <c r="B71" s="29" t="n">
        <v>21.534831</v>
      </c>
    </row>
    <row r="72" customFormat="false" ht="15" hidden="false" customHeight="false" outlineLevel="0" collapsed="false">
      <c r="A72" s="23" t="n">
        <v>68</v>
      </c>
      <c r="B72" s="29" t="n">
        <v>21.534831</v>
      </c>
    </row>
    <row r="73" customFormat="false" ht="15" hidden="false" customHeight="false" outlineLevel="0" collapsed="false">
      <c r="A73" s="23" t="n">
        <v>69</v>
      </c>
      <c r="B73" s="29" t="n">
        <v>21.534831</v>
      </c>
    </row>
    <row r="74" customFormat="false" ht="15" hidden="false" customHeight="false" outlineLevel="0" collapsed="false">
      <c r="A74" s="23" t="n">
        <v>70</v>
      </c>
      <c r="B74" s="29" t="n">
        <v>21.526621</v>
      </c>
    </row>
    <row r="75" customFormat="false" ht="15" hidden="false" customHeight="false" outlineLevel="0" collapsed="false">
      <c r="A75" s="23" t="n">
        <v>71</v>
      </c>
      <c r="B75" s="29" t="n">
        <v>21.526621</v>
      </c>
    </row>
    <row r="76" customFormat="false" ht="15" hidden="false" customHeight="false" outlineLevel="0" collapsed="false">
      <c r="A76" s="23" t="n">
        <v>72</v>
      </c>
      <c r="B76" s="29" t="n">
        <v>21.526621</v>
      </c>
    </row>
    <row r="77" customFormat="false" ht="15" hidden="false" customHeight="false" outlineLevel="0" collapsed="false">
      <c r="A77" s="23" t="n">
        <v>73</v>
      </c>
      <c r="B77" s="29" t="n">
        <v>21.526621</v>
      </c>
    </row>
    <row r="78" customFormat="false" ht="15" hidden="false" customHeight="false" outlineLevel="0" collapsed="false">
      <c r="A78" s="23" t="n">
        <v>74</v>
      </c>
      <c r="B78" s="29" t="n">
        <v>21.526621</v>
      </c>
    </row>
    <row r="79" customFormat="false" ht="15" hidden="false" customHeight="false" outlineLevel="0" collapsed="false">
      <c r="A79" s="23" t="n">
        <v>75</v>
      </c>
      <c r="B79" s="29" t="n">
        <v>21.526621</v>
      </c>
    </row>
    <row r="80" customFormat="false" ht="15" hidden="false" customHeight="false" outlineLevel="0" collapsed="false">
      <c r="A80" s="23" t="n">
        <v>76</v>
      </c>
      <c r="B80" s="29" t="n">
        <v>21.526621</v>
      </c>
    </row>
    <row r="81" customFormat="false" ht="15" hidden="false" customHeight="false" outlineLevel="0" collapsed="false">
      <c r="A81" s="23" t="n">
        <v>77</v>
      </c>
      <c r="B81" s="29" t="n">
        <v>21.526621</v>
      </c>
    </row>
    <row r="82" customFormat="false" ht="15" hidden="false" customHeight="false" outlineLevel="0" collapsed="false">
      <c r="A82" s="23" t="n">
        <v>78</v>
      </c>
      <c r="B82" s="29" t="n">
        <v>21.526621</v>
      </c>
    </row>
    <row r="83" customFormat="false" ht="15" hidden="false" customHeight="false" outlineLevel="0" collapsed="false">
      <c r="A83" s="23" t="n">
        <v>79</v>
      </c>
      <c r="B83" s="29" t="n">
        <v>21.526621</v>
      </c>
    </row>
    <row r="84" customFormat="false" ht="15" hidden="false" customHeight="false" outlineLevel="0" collapsed="false">
      <c r="A84" s="23" t="n">
        <v>80</v>
      </c>
      <c r="B84" s="29" t="n">
        <v>21.526621</v>
      </c>
    </row>
    <row r="85" customFormat="false" ht="15" hidden="false" customHeight="false" outlineLevel="0" collapsed="false">
      <c r="A85" s="23" t="n">
        <v>81</v>
      </c>
      <c r="B85" s="29" t="n">
        <v>21.526621</v>
      </c>
    </row>
    <row r="86" customFormat="false" ht="15" hidden="false" customHeight="false" outlineLevel="0" collapsed="false">
      <c r="A86" s="23" t="n">
        <v>82</v>
      </c>
      <c r="B86" s="29" t="n">
        <v>21.526621</v>
      </c>
    </row>
    <row r="87" customFormat="false" ht="15" hidden="false" customHeight="false" outlineLevel="0" collapsed="false">
      <c r="A87" s="23" t="n">
        <v>83</v>
      </c>
      <c r="B87" s="29" t="n">
        <v>21.400766</v>
      </c>
    </row>
    <row r="88" customFormat="false" ht="15" hidden="false" customHeight="false" outlineLevel="0" collapsed="false">
      <c r="A88" s="23" t="n">
        <v>84</v>
      </c>
      <c r="B88" s="29" t="n">
        <v>21.400766</v>
      </c>
    </row>
    <row r="89" customFormat="false" ht="15" hidden="false" customHeight="false" outlineLevel="0" collapsed="false">
      <c r="A89" s="23" t="n">
        <v>85</v>
      </c>
      <c r="B89" s="29" t="n">
        <v>21.094868</v>
      </c>
    </row>
    <row r="90" customFormat="false" ht="15" hidden="false" customHeight="false" outlineLevel="0" collapsed="false">
      <c r="A90" s="23" t="n">
        <v>86</v>
      </c>
      <c r="B90" s="29" t="n">
        <v>21.094868</v>
      </c>
    </row>
    <row r="91" customFormat="false" ht="15" hidden="false" customHeight="false" outlineLevel="0" collapsed="false">
      <c r="A91" s="23" t="n">
        <v>87</v>
      </c>
      <c r="B91" s="29" t="n">
        <v>21.094868</v>
      </c>
    </row>
    <row r="92" customFormat="false" ht="15" hidden="false" customHeight="false" outlineLevel="0" collapsed="false">
      <c r="A92" s="23" t="n">
        <v>88</v>
      </c>
      <c r="B92" s="29" t="n">
        <v>21.089617</v>
      </c>
    </row>
    <row r="93" customFormat="false" ht="15" hidden="false" customHeight="false" outlineLevel="0" collapsed="false">
      <c r="A93" s="23" t="n">
        <v>89</v>
      </c>
      <c r="B93" s="29" t="n">
        <v>21.089617</v>
      </c>
    </row>
    <row r="94" customFormat="false" ht="15" hidden="false" customHeight="false" outlineLevel="0" collapsed="false">
      <c r="A94" s="23" t="n">
        <v>90</v>
      </c>
      <c r="B94" s="29" t="n">
        <v>21.089617</v>
      </c>
    </row>
    <row r="95" customFormat="false" ht="15" hidden="false" customHeight="false" outlineLevel="0" collapsed="false">
      <c r="A95" s="23" t="n">
        <v>91</v>
      </c>
      <c r="B95" s="29" t="n">
        <v>21.089617</v>
      </c>
    </row>
    <row r="96" customFormat="false" ht="15" hidden="false" customHeight="false" outlineLevel="0" collapsed="false">
      <c r="A96" s="23" t="n">
        <v>92</v>
      </c>
      <c r="B96" s="29" t="n">
        <v>21.089617</v>
      </c>
    </row>
    <row r="97" customFormat="false" ht="15" hidden="false" customHeight="false" outlineLevel="0" collapsed="false">
      <c r="A97" s="23" t="n">
        <v>93</v>
      </c>
      <c r="B97" s="29" t="n">
        <v>21.089617</v>
      </c>
    </row>
    <row r="98" customFormat="false" ht="15" hidden="false" customHeight="false" outlineLevel="0" collapsed="false">
      <c r="A98" s="23" t="n">
        <v>94</v>
      </c>
      <c r="B98" s="29" t="n">
        <v>21.089617</v>
      </c>
    </row>
    <row r="99" customFormat="false" ht="15" hidden="false" customHeight="false" outlineLevel="0" collapsed="false">
      <c r="A99" s="23" t="n">
        <v>95</v>
      </c>
      <c r="B99" s="29" t="n">
        <v>21.089617</v>
      </c>
    </row>
    <row r="100" customFormat="false" ht="15" hidden="false" customHeight="false" outlineLevel="0" collapsed="false">
      <c r="A100" s="23" t="n">
        <v>96</v>
      </c>
      <c r="B100" s="29" t="n">
        <v>20.647628</v>
      </c>
    </row>
    <row r="101" customFormat="false" ht="15" hidden="false" customHeight="false" outlineLevel="0" collapsed="false">
      <c r="A101" s="23" t="n">
        <v>97</v>
      </c>
      <c r="B101" s="29" t="n">
        <v>20.647628</v>
      </c>
    </row>
    <row r="102" customFormat="false" ht="15" hidden="false" customHeight="false" outlineLevel="0" collapsed="false">
      <c r="A102" s="23" t="n">
        <v>98</v>
      </c>
      <c r="B102" s="29" t="n">
        <v>20.335233</v>
      </c>
    </row>
    <row r="103" customFormat="false" ht="15" hidden="false" customHeight="false" outlineLevel="0" collapsed="false">
      <c r="A103" s="23" t="n">
        <v>99</v>
      </c>
      <c r="B103" s="29" t="n">
        <v>20.335233</v>
      </c>
    </row>
    <row r="104" customFormat="false" ht="15" hidden="false" customHeight="false" outlineLevel="0" collapsed="false">
      <c r="A104" s="23" t="n">
        <v>100</v>
      </c>
      <c r="B104" s="29" t="n">
        <v>20.335233</v>
      </c>
    </row>
    <row r="105" customFormat="false" ht="15" hidden="false" customHeight="false" outlineLevel="0" collapsed="false">
      <c r="A105" s="23" t="n">
        <v>101</v>
      </c>
      <c r="B105" s="29" t="n">
        <v>20.335233</v>
      </c>
    </row>
    <row r="106" customFormat="false" ht="15" hidden="false" customHeight="false" outlineLevel="0" collapsed="false">
      <c r="A106" s="23" t="n">
        <v>102</v>
      </c>
      <c r="B106" s="29" t="n">
        <v>20.335233</v>
      </c>
    </row>
    <row r="107" customFormat="false" ht="15" hidden="false" customHeight="false" outlineLevel="0" collapsed="false">
      <c r="A107" s="23" t="n">
        <v>103</v>
      </c>
      <c r="B107" s="29" t="n">
        <v>20.335233</v>
      </c>
    </row>
    <row r="108" customFormat="false" ht="15" hidden="false" customHeight="false" outlineLevel="0" collapsed="false">
      <c r="A108" s="23" t="n">
        <v>104</v>
      </c>
      <c r="B108" s="29" t="n">
        <v>19.729234</v>
      </c>
    </row>
    <row r="109" customFormat="false" ht="15" hidden="false" customHeight="false" outlineLevel="0" collapsed="false">
      <c r="A109" s="23" t="n">
        <v>105</v>
      </c>
      <c r="B109" s="29" t="n">
        <v>18.14966</v>
      </c>
    </row>
    <row r="110" customFormat="false" ht="15" hidden="false" customHeight="false" outlineLevel="0" collapsed="false">
      <c r="A110" s="23" t="n">
        <v>106</v>
      </c>
      <c r="B110" s="29" t="n">
        <v>18.14966</v>
      </c>
    </row>
    <row r="111" customFormat="false" ht="15" hidden="false" customHeight="false" outlineLevel="0" collapsed="false">
      <c r="A111" s="23" t="n">
        <v>107</v>
      </c>
      <c r="B111" s="29" t="n">
        <v>18.14966</v>
      </c>
    </row>
    <row r="112" customFormat="false" ht="15" hidden="false" customHeight="false" outlineLevel="0" collapsed="false">
      <c r="A112" s="23" t="n">
        <v>108</v>
      </c>
      <c r="B112" s="29" t="n">
        <v>17.86809</v>
      </c>
    </row>
    <row r="113" customFormat="false" ht="15" hidden="false" customHeight="false" outlineLevel="0" collapsed="false">
      <c r="A113" s="23" t="n">
        <v>109</v>
      </c>
      <c r="B113" s="29" t="n">
        <v>17.86809</v>
      </c>
    </row>
    <row r="114" customFormat="false" ht="15" hidden="false" customHeight="false" outlineLevel="0" collapsed="false">
      <c r="A114" s="23" t="n">
        <v>110</v>
      </c>
      <c r="B114" s="29" t="n">
        <v>17.86809</v>
      </c>
    </row>
    <row r="115" customFormat="false" ht="15" hidden="false" customHeight="false" outlineLevel="0" collapsed="false">
      <c r="A115" s="23" t="n">
        <v>111</v>
      </c>
      <c r="B115" s="29" t="n">
        <v>17.86809</v>
      </c>
    </row>
    <row r="116" customFormat="false" ht="15" hidden="false" customHeight="false" outlineLevel="0" collapsed="false">
      <c r="A116" s="23" t="n">
        <v>112</v>
      </c>
      <c r="B116" s="29" t="n">
        <v>17.86809</v>
      </c>
    </row>
    <row r="117" customFormat="false" ht="15" hidden="false" customHeight="false" outlineLevel="0" collapsed="false">
      <c r="A117" s="23" t="n">
        <v>113</v>
      </c>
      <c r="B117" s="29" t="n">
        <v>17.560429</v>
      </c>
    </row>
    <row r="118" customFormat="false" ht="15" hidden="false" customHeight="false" outlineLevel="0" collapsed="false">
      <c r="A118" s="23" t="n">
        <v>114</v>
      </c>
      <c r="B118" s="29" t="n">
        <v>17.560429</v>
      </c>
    </row>
    <row r="119" customFormat="false" ht="15" hidden="false" customHeight="false" outlineLevel="0" collapsed="false">
      <c r="A119" s="23" t="n">
        <v>115</v>
      </c>
      <c r="B119" s="29" t="n">
        <v>17.560429</v>
      </c>
    </row>
    <row r="120" customFormat="false" ht="15" hidden="false" customHeight="false" outlineLevel="0" collapsed="false">
      <c r="A120" s="23" t="n">
        <v>116</v>
      </c>
      <c r="B120" s="29" t="n">
        <v>15.918687</v>
      </c>
    </row>
    <row r="121" customFormat="false" ht="15" hidden="false" customHeight="false" outlineLevel="0" collapsed="false">
      <c r="A121" s="23" t="n">
        <v>117</v>
      </c>
      <c r="B121" s="29" t="n">
        <v>15.627226</v>
      </c>
    </row>
    <row r="122" customFormat="false" ht="15" hidden="false" customHeight="false" outlineLevel="0" collapsed="false">
      <c r="A122" s="23" t="n">
        <v>118</v>
      </c>
      <c r="B122" s="29" t="n">
        <v>15.627226</v>
      </c>
    </row>
    <row r="123" customFormat="false" ht="15" hidden="false" customHeight="false" outlineLevel="0" collapsed="false">
      <c r="A123" s="23" t="n">
        <v>119</v>
      </c>
      <c r="B123" s="29" t="n">
        <v>15.627226</v>
      </c>
    </row>
    <row r="124" customFormat="false" ht="15" hidden="false" customHeight="false" outlineLevel="0" collapsed="false">
      <c r="A124" s="23" t="n">
        <v>120</v>
      </c>
      <c r="B124" s="29" t="n">
        <v>15.627226</v>
      </c>
    </row>
    <row r="125" customFormat="false" ht="15" hidden="false" customHeight="false" outlineLevel="0" collapsed="false">
      <c r="A125" s="23" t="n">
        <v>121</v>
      </c>
      <c r="B125" s="29" t="n">
        <v>15.627226</v>
      </c>
    </row>
    <row r="126" customFormat="false" ht="15" hidden="false" customHeight="false" outlineLevel="0" collapsed="false">
      <c r="A126" s="23" t="n">
        <v>122</v>
      </c>
      <c r="B126" s="29" t="n">
        <v>15.627226</v>
      </c>
    </row>
    <row r="127" customFormat="false" ht="15" hidden="false" customHeight="false" outlineLevel="0" collapsed="false">
      <c r="A127" s="23" t="n">
        <v>123</v>
      </c>
      <c r="B127" s="29" t="n">
        <v>15.627226</v>
      </c>
    </row>
    <row r="128" customFormat="false" ht="15" hidden="false" customHeight="false" outlineLevel="0" collapsed="false">
      <c r="A128" s="23" t="n">
        <v>124</v>
      </c>
      <c r="B128" s="29" t="n">
        <v>15.627226</v>
      </c>
    </row>
    <row r="129" customFormat="false" ht="15" hidden="false" customHeight="false" outlineLevel="0" collapsed="false">
      <c r="A129" s="23" t="n">
        <v>125</v>
      </c>
      <c r="B129" s="29" t="n">
        <v>15.627226</v>
      </c>
    </row>
    <row r="130" customFormat="false" ht="15" hidden="false" customHeight="false" outlineLevel="0" collapsed="false">
      <c r="A130" s="23" t="n">
        <v>126</v>
      </c>
      <c r="B130" s="29" t="n">
        <v>15.627226</v>
      </c>
    </row>
    <row r="131" customFormat="false" ht="15" hidden="false" customHeight="false" outlineLevel="0" collapsed="false">
      <c r="A131" s="23" t="n">
        <v>127</v>
      </c>
      <c r="B131" s="29" t="n">
        <v>15.627226</v>
      </c>
    </row>
    <row r="132" customFormat="false" ht="15" hidden="false" customHeight="false" outlineLevel="0" collapsed="false">
      <c r="A132" s="23" t="n">
        <v>128</v>
      </c>
      <c r="B132" s="29" t="n">
        <v>15.627226</v>
      </c>
    </row>
    <row r="133" customFormat="false" ht="15" hidden="false" customHeight="false" outlineLevel="0" collapsed="false">
      <c r="A133" s="23" t="n">
        <v>129</v>
      </c>
      <c r="B133" s="29" t="n">
        <v>15.627226</v>
      </c>
    </row>
    <row r="134" customFormat="false" ht="15" hidden="false" customHeight="false" outlineLevel="0" collapsed="false">
      <c r="A134" s="23" t="n">
        <v>130</v>
      </c>
      <c r="B134" s="29" t="n">
        <v>15.627226</v>
      </c>
    </row>
    <row r="135" customFormat="false" ht="15" hidden="false" customHeight="false" outlineLevel="0" collapsed="false">
      <c r="A135" s="23" t="n">
        <v>131</v>
      </c>
      <c r="B135" s="29" t="n">
        <v>15.627226</v>
      </c>
    </row>
    <row r="136" customFormat="false" ht="15" hidden="false" customHeight="false" outlineLevel="0" collapsed="false">
      <c r="A136" s="23" t="n">
        <v>132</v>
      </c>
      <c r="B136" s="29" t="n">
        <v>15.532933</v>
      </c>
    </row>
    <row r="137" customFormat="false" ht="15" hidden="false" customHeight="false" outlineLevel="0" collapsed="false">
      <c r="A137" s="23" t="n">
        <v>133</v>
      </c>
      <c r="B137" s="29" t="n">
        <v>15.532933</v>
      </c>
    </row>
    <row r="138" customFormat="false" ht="15" hidden="false" customHeight="false" outlineLevel="0" collapsed="false">
      <c r="A138" s="23" t="n">
        <v>134</v>
      </c>
      <c r="B138" s="29" t="n">
        <v>15.532933</v>
      </c>
    </row>
    <row r="139" customFormat="false" ht="15" hidden="false" customHeight="false" outlineLevel="0" collapsed="false">
      <c r="A139" s="23" t="n">
        <v>135</v>
      </c>
      <c r="B139" s="29" t="n">
        <v>15.532933</v>
      </c>
    </row>
    <row r="140" customFormat="false" ht="15" hidden="false" customHeight="false" outlineLevel="0" collapsed="false">
      <c r="A140" s="23" t="n">
        <v>136</v>
      </c>
      <c r="B140" s="29" t="n">
        <v>15.532933</v>
      </c>
    </row>
    <row r="141" customFormat="false" ht="15" hidden="false" customHeight="false" outlineLevel="0" collapsed="false">
      <c r="A141" s="23" t="n">
        <v>137</v>
      </c>
      <c r="B141" s="29" t="n">
        <v>15.341217</v>
      </c>
    </row>
    <row r="142" customFormat="false" ht="15" hidden="false" customHeight="false" outlineLevel="0" collapsed="false">
      <c r="A142" s="23" t="n">
        <v>138</v>
      </c>
      <c r="B142" s="29" t="n">
        <v>15.341217</v>
      </c>
    </row>
    <row r="143" customFormat="false" ht="15" hidden="false" customHeight="false" outlineLevel="0" collapsed="false">
      <c r="A143" s="23" t="n">
        <v>139</v>
      </c>
      <c r="B143" s="29" t="n">
        <v>15.341217</v>
      </c>
    </row>
    <row r="144" customFormat="false" ht="15" hidden="false" customHeight="false" outlineLevel="0" collapsed="false">
      <c r="A144" s="23" t="n">
        <v>140</v>
      </c>
      <c r="B144" s="29" t="n">
        <v>15.330897</v>
      </c>
    </row>
    <row r="145" customFormat="false" ht="15" hidden="false" customHeight="false" outlineLevel="0" collapsed="false">
      <c r="A145" s="23" t="n">
        <v>141</v>
      </c>
      <c r="B145" s="29" t="n">
        <v>15.269273</v>
      </c>
    </row>
    <row r="146" customFormat="false" ht="15" hidden="false" customHeight="false" outlineLevel="0" collapsed="false">
      <c r="A146" s="23" t="n">
        <v>142</v>
      </c>
      <c r="B146" s="29" t="n">
        <v>15.269273</v>
      </c>
    </row>
    <row r="147" customFormat="false" ht="15" hidden="false" customHeight="false" outlineLevel="0" collapsed="false">
      <c r="A147" s="23" t="n">
        <v>143</v>
      </c>
      <c r="B147" s="29" t="n">
        <v>15.262648</v>
      </c>
    </row>
    <row r="148" customFormat="false" ht="15" hidden="false" customHeight="false" outlineLevel="0" collapsed="false">
      <c r="A148" s="23" t="n">
        <v>144</v>
      </c>
      <c r="B148" s="29" t="n">
        <v>15.202255</v>
      </c>
    </row>
    <row r="149" customFormat="false" ht="15" hidden="false" customHeight="false" outlineLevel="0" collapsed="false">
      <c r="A149" s="23" t="n">
        <v>145</v>
      </c>
      <c r="B149" s="29" t="n">
        <v>15.127857</v>
      </c>
    </row>
    <row r="150" customFormat="false" ht="15" hidden="false" customHeight="false" outlineLevel="0" collapsed="false">
      <c r="A150" s="23" t="n">
        <v>146</v>
      </c>
      <c r="B150" s="29" t="n">
        <v>15.127857</v>
      </c>
    </row>
    <row r="151" customFormat="false" ht="15" hidden="false" customHeight="false" outlineLevel="0" collapsed="false">
      <c r="A151" s="23" t="n">
        <v>147</v>
      </c>
      <c r="B151" s="29" t="n">
        <v>15.127857</v>
      </c>
    </row>
    <row r="152" customFormat="false" ht="15" hidden="false" customHeight="false" outlineLevel="0" collapsed="false">
      <c r="A152" s="23" t="n">
        <v>148</v>
      </c>
      <c r="B152" s="29" t="n">
        <v>15.124538</v>
      </c>
    </row>
    <row r="153" customFormat="false" ht="15" hidden="false" customHeight="false" outlineLevel="0" collapsed="false">
      <c r="A153" s="23" t="n">
        <v>149</v>
      </c>
      <c r="B153" s="29" t="n">
        <v>15.124538</v>
      </c>
    </row>
    <row r="154" customFormat="false" ht="15" hidden="false" customHeight="false" outlineLevel="0" collapsed="false">
      <c r="A154" s="23" t="n">
        <v>150</v>
      </c>
      <c r="B154" s="29" t="n">
        <v>15.097718</v>
      </c>
    </row>
    <row r="155" customFormat="false" ht="15" hidden="false" customHeight="false" outlineLevel="0" collapsed="false">
      <c r="A155" s="23" t="n">
        <v>151</v>
      </c>
      <c r="B155" s="29" t="n">
        <v>15.097718</v>
      </c>
    </row>
    <row r="156" customFormat="false" ht="15" hidden="false" customHeight="false" outlineLevel="0" collapsed="false">
      <c r="A156" s="23" t="n">
        <v>152</v>
      </c>
      <c r="B156" s="29" t="n">
        <v>15.082866</v>
      </c>
    </row>
    <row r="157" customFormat="false" ht="15" hidden="false" customHeight="false" outlineLevel="0" collapsed="false">
      <c r="A157" s="23" t="n">
        <v>153</v>
      </c>
      <c r="B157" s="29" t="n">
        <v>15.066586</v>
      </c>
    </row>
    <row r="158" customFormat="false" ht="15" hidden="false" customHeight="false" outlineLevel="0" collapsed="false">
      <c r="A158" s="23" t="n">
        <v>154</v>
      </c>
      <c r="B158" s="29" t="n">
        <v>15.066586</v>
      </c>
    </row>
    <row r="159" customFormat="false" ht="15" hidden="false" customHeight="false" outlineLevel="0" collapsed="false">
      <c r="A159" s="23" t="n">
        <v>155</v>
      </c>
      <c r="B159" s="29" t="n">
        <v>15.066586</v>
      </c>
    </row>
    <row r="160" customFormat="false" ht="15" hidden="false" customHeight="false" outlineLevel="0" collapsed="false">
      <c r="A160" s="23" t="n">
        <v>156</v>
      </c>
      <c r="B160" s="29" t="n">
        <v>15.051397</v>
      </c>
    </row>
    <row r="161" customFormat="false" ht="15" hidden="false" customHeight="false" outlineLevel="0" collapsed="false">
      <c r="A161" s="23" t="n">
        <v>157</v>
      </c>
      <c r="B161" s="29" t="n">
        <v>14.973723</v>
      </c>
    </row>
    <row r="162" customFormat="false" ht="15" hidden="false" customHeight="false" outlineLevel="0" collapsed="false">
      <c r="A162" s="23" t="n">
        <v>158</v>
      </c>
      <c r="B162" s="29" t="n">
        <v>14.973723</v>
      </c>
    </row>
    <row r="163" customFormat="false" ht="15" hidden="false" customHeight="false" outlineLevel="0" collapsed="false">
      <c r="A163" s="23" t="n">
        <v>159</v>
      </c>
      <c r="B163" s="29" t="n">
        <v>14.973723</v>
      </c>
    </row>
    <row r="164" customFormat="false" ht="15" hidden="false" customHeight="false" outlineLevel="0" collapsed="false">
      <c r="A164" s="23" t="n">
        <v>160</v>
      </c>
      <c r="B164" s="29" t="n">
        <v>14.973723</v>
      </c>
    </row>
    <row r="165" customFormat="false" ht="15" hidden="false" customHeight="false" outlineLevel="0" collapsed="false">
      <c r="A165" s="23" t="n">
        <v>161</v>
      </c>
      <c r="B165" s="29" t="n">
        <v>14.973723</v>
      </c>
    </row>
    <row r="166" customFormat="false" ht="15" hidden="false" customHeight="false" outlineLevel="0" collapsed="false">
      <c r="A166" s="23" t="n">
        <v>162</v>
      </c>
      <c r="B166" s="29" t="n">
        <v>14.973723</v>
      </c>
    </row>
    <row r="167" customFormat="false" ht="15" hidden="false" customHeight="false" outlineLevel="0" collapsed="false">
      <c r="A167" s="23" t="n">
        <v>163</v>
      </c>
      <c r="B167" s="29" t="n">
        <v>14.961886</v>
      </c>
    </row>
    <row r="168" customFormat="false" ht="15" hidden="false" customHeight="false" outlineLevel="0" collapsed="false">
      <c r="A168" s="23" t="n">
        <v>164</v>
      </c>
      <c r="B168" s="29" t="n">
        <v>14.961886</v>
      </c>
    </row>
    <row r="169" customFormat="false" ht="15" hidden="false" customHeight="false" outlineLevel="0" collapsed="false">
      <c r="A169" s="23" t="n">
        <v>165</v>
      </c>
      <c r="B169" s="29" t="n">
        <v>14.937494</v>
      </c>
    </row>
    <row r="170" customFormat="false" ht="15" hidden="false" customHeight="false" outlineLevel="0" collapsed="false">
      <c r="A170" s="23" t="n">
        <v>166</v>
      </c>
      <c r="B170" s="29" t="n">
        <v>14.937494</v>
      </c>
    </row>
    <row r="171" customFormat="false" ht="15" hidden="false" customHeight="false" outlineLevel="0" collapsed="false">
      <c r="A171" s="23" t="n">
        <v>167</v>
      </c>
      <c r="B171" s="29" t="n">
        <v>14.937494</v>
      </c>
    </row>
    <row r="172" customFormat="false" ht="15" hidden="false" customHeight="false" outlineLevel="0" collapsed="false">
      <c r="A172" s="23" t="n">
        <v>168</v>
      </c>
      <c r="B172" s="29" t="n">
        <v>14.826981</v>
      </c>
    </row>
    <row r="173" customFormat="false" ht="15" hidden="false" customHeight="false" outlineLevel="0" collapsed="false">
      <c r="A173" s="23" t="n">
        <v>169</v>
      </c>
      <c r="B173" s="29" t="n">
        <v>14.826981</v>
      </c>
    </row>
    <row r="174" customFormat="false" ht="15" hidden="false" customHeight="false" outlineLevel="0" collapsed="false">
      <c r="A174" s="23" t="n">
        <v>170</v>
      </c>
      <c r="B174" s="29" t="n">
        <v>14.826981</v>
      </c>
    </row>
    <row r="175" customFormat="false" ht="15" hidden="false" customHeight="false" outlineLevel="0" collapsed="false">
      <c r="A175" s="23" t="n">
        <v>171</v>
      </c>
      <c r="B175" s="29" t="n">
        <v>14.826981</v>
      </c>
    </row>
    <row r="176" customFormat="false" ht="15" hidden="false" customHeight="false" outlineLevel="0" collapsed="false">
      <c r="A176" s="23" t="n">
        <v>172</v>
      </c>
      <c r="B176" s="29" t="n">
        <v>14.826981</v>
      </c>
    </row>
    <row r="177" customFormat="false" ht="15" hidden="false" customHeight="false" outlineLevel="0" collapsed="false">
      <c r="A177" s="23" t="n">
        <v>173</v>
      </c>
      <c r="B177" s="29" t="n">
        <v>14.826981</v>
      </c>
    </row>
    <row r="178" customFormat="false" ht="15" hidden="false" customHeight="false" outlineLevel="0" collapsed="false">
      <c r="A178" s="23" t="n">
        <v>174</v>
      </c>
      <c r="B178" s="29" t="n">
        <v>14.826981</v>
      </c>
    </row>
    <row r="179" customFormat="false" ht="15" hidden="false" customHeight="false" outlineLevel="0" collapsed="false">
      <c r="A179" s="23" t="n">
        <v>175</v>
      </c>
      <c r="B179" s="29" t="n">
        <v>14.826981</v>
      </c>
    </row>
    <row r="180" customFormat="false" ht="15" hidden="false" customHeight="false" outlineLevel="0" collapsed="false">
      <c r="A180" s="23" t="n">
        <v>176</v>
      </c>
      <c r="B180" s="29" t="n">
        <v>14.826981</v>
      </c>
    </row>
    <row r="181" customFormat="false" ht="15" hidden="false" customHeight="false" outlineLevel="0" collapsed="false">
      <c r="A181" s="23" t="n">
        <v>177</v>
      </c>
      <c r="B181" s="29" t="n">
        <v>14.826981</v>
      </c>
    </row>
    <row r="182" customFormat="false" ht="15" hidden="false" customHeight="false" outlineLevel="0" collapsed="false">
      <c r="A182" s="23" t="n">
        <v>178</v>
      </c>
      <c r="B182" s="29" t="n">
        <v>14.826981</v>
      </c>
    </row>
    <row r="183" customFormat="false" ht="15" hidden="false" customHeight="false" outlineLevel="0" collapsed="false">
      <c r="A183" s="23" t="n">
        <v>179</v>
      </c>
      <c r="B183" s="29" t="n">
        <v>14.815114</v>
      </c>
    </row>
    <row r="184" customFormat="false" ht="15" hidden="false" customHeight="false" outlineLevel="0" collapsed="false">
      <c r="A184" s="23" t="n">
        <v>180</v>
      </c>
      <c r="B184" s="29" t="n">
        <v>14.804118</v>
      </c>
    </row>
    <row r="185" customFormat="false" ht="15" hidden="false" customHeight="false" outlineLevel="0" collapsed="false">
      <c r="A185" s="23" t="n">
        <v>181</v>
      </c>
      <c r="B185" s="29" t="n">
        <v>14.804118</v>
      </c>
    </row>
    <row r="186" customFormat="false" ht="15" hidden="false" customHeight="false" outlineLevel="0" collapsed="false">
      <c r="A186" s="23" t="n">
        <v>182</v>
      </c>
      <c r="B186" s="29" t="n">
        <v>14.799453</v>
      </c>
    </row>
    <row r="187" customFormat="false" ht="15" hidden="false" customHeight="false" outlineLevel="0" collapsed="false">
      <c r="A187" s="23" t="n">
        <v>183</v>
      </c>
      <c r="B187" s="29" t="n">
        <v>14.788202</v>
      </c>
    </row>
    <row r="188" customFormat="false" ht="15" hidden="false" customHeight="false" outlineLevel="0" collapsed="false">
      <c r="A188" s="23" t="n">
        <v>184</v>
      </c>
      <c r="B188" s="29" t="n">
        <v>14.788202</v>
      </c>
    </row>
    <row r="189" customFormat="false" ht="15" hidden="false" customHeight="false" outlineLevel="0" collapsed="false">
      <c r="A189" s="23" t="n">
        <v>185</v>
      </c>
      <c r="B189" s="29" t="n">
        <v>14.779005</v>
      </c>
    </row>
    <row r="190" customFormat="false" ht="15" hidden="false" customHeight="false" outlineLevel="0" collapsed="false">
      <c r="A190" s="23" t="n">
        <v>186</v>
      </c>
      <c r="B190" s="29" t="n">
        <v>14.779005</v>
      </c>
    </row>
    <row r="191" customFormat="false" ht="15" hidden="false" customHeight="false" outlineLevel="0" collapsed="false">
      <c r="A191" s="23" t="n">
        <v>187</v>
      </c>
      <c r="B191" s="29" t="n">
        <v>14.773657</v>
      </c>
    </row>
    <row r="192" customFormat="false" ht="15" hidden="false" customHeight="false" outlineLevel="0" collapsed="false">
      <c r="A192" s="23" t="n">
        <v>188</v>
      </c>
      <c r="B192" s="29" t="n">
        <v>14.72988</v>
      </c>
    </row>
    <row r="193" customFormat="false" ht="15" hidden="false" customHeight="false" outlineLevel="0" collapsed="false">
      <c r="A193" s="23" t="n">
        <v>189</v>
      </c>
      <c r="B193" s="29" t="n">
        <v>14.72988</v>
      </c>
    </row>
    <row r="194" customFormat="false" ht="15" hidden="false" customHeight="false" outlineLevel="0" collapsed="false">
      <c r="A194" s="23" t="n">
        <v>190</v>
      </c>
      <c r="B194" s="29" t="n">
        <v>14.706462</v>
      </c>
    </row>
    <row r="195" customFormat="false" ht="15" hidden="false" customHeight="false" outlineLevel="0" collapsed="false">
      <c r="A195" s="23" t="n">
        <v>191</v>
      </c>
      <c r="B195" s="29" t="n">
        <v>14.698969</v>
      </c>
    </row>
    <row r="196" customFormat="false" ht="15" hidden="false" customHeight="false" outlineLevel="0" collapsed="false">
      <c r="A196" s="23" t="n">
        <v>192</v>
      </c>
      <c r="B196" s="29" t="n">
        <v>14.672945</v>
      </c>
    </row>
    <row r="197" customFormat="false" ht="15" hidden="false" customHeight="false" outlineLevel="0" collapsed="false">
      <c r="A197" s="23" t="n">
        <v>193</v>
      </c>
      <c r="B197" s="29" t="n">
        <v>14.672945</v>
      </c>
    </row>
    <row r="198" customFormat="false" ht="15" hidden="false" customHeight="false" outlineLevel="0" collapsed="false">
      <c r="A198" s="23" t="n">
        <v>194</v>
      </c>
      <c r="B198" s="29" t="n">
        <v>14.672945</v>
      </c>
    </row>
    <row r="199" customFormat="false" ht="15" hidden="false" customHeight="false" outlineLevel="0" collapsed="false">
      <c r="A199" s="23" t="n">
        <v>195</v>
      </c>
      <c r="B199" s="29" t="n">
        <v>14.672945</v>
      </c>
    </row>
    <row r="200" customFormat="false" ht="15" hidden="false" customHeight="false" outlineLevel="0" collapsed="false">
      <c r="A200" s="23" t="n">
        <v>196</v>
      </c>
      <c r="B200" s="29" t="n">
        <v>14.672945</v>
      </c>
    </row>
    <row r="201" customFormat="false" ht="15" hidden="false" customHeight="false" outlineLevel="0" collapsed="false">
      <c r="A201" s="23" t="n">
        <v>197</v>
      </c>
      <c r="B201" s="29" t="n">
        <v>14.672945</v>
      </c>
    </row>
    <row r="202" customFormat="false" ht="15" hidden="false" customHeight="false" outlineLevel="0" collapsed="false">
      <c r="A202" s="23" t="n">
        <v>198</v>
      </c>
      <c r="B202" s="29" t="n">
        <v>14.671287</v>
      </c>
    </row>
    <row r="203" customFormat="false" ht="15" hidden="false" customHeight="false" outlineLevel="0" collapsed="false">
      <c r="A203" s="23" t="n">
        <v>199</v>
      </c>
      <c r="B203" s="29" t="n">
        <v>14.670427</v>
      </c>
    </row>
    <row r="204" customFormat="false" ht="15" hidden="false" customHeight="false" outlineLevel="0" collapsed="false">
      <c r="A204" s="23" t="n">
        <v>200</v>
      </c>
      <c r="B204" s="29" t="n">
        <v>14.670427</v>
      </c>
    </row>
    <row r="205" customFormat="false" ht="15" hidden="false" customHeight="false" outlineLevel="0" collapsed="false">
      <c r="A205" s="23" t="n">
        <v>201</v>
      </c>
      <c r="B205" s="29" t="n">
        <v>14.670427</v>
      </c>
    </row>
    <row r="206" customFormat="false" ht="15" hidden="false" customHeight="false" outlineLevel="0" collapsed="false">
      <c r="A206" s="23" t="n">
        <v>202</v>
      </c>
      <c r="B206" s="29" t="n">
        <v>14.669639</v>
      </c>
    </row>
    <row r="207" customFormat="false" ht="15" hidden="false" customHeight="false" outlineLevel="0" collapsed="false">
      <c r="A207" s="23" t="n">
        <v>203</v>
      </c>
      <c r="B207" s="29" t="n">
        <v>14.66228</v>
      </c>
    </row>
    <row r="208" customFormat="false" ht="15" hidden="false" customHeight="false" outlineLevel="0" collapsed="false">
      <c r="A208" s="23" t="n">
        <v>204</v>
      </c>
      <c r="B208" s="29" t="n">
        <v>14.660685</v>
      </c>
    </row>
    <row r="209" customFormat="false" ht="15" hidden="false" customHeight="false" outlineLevel="0" collapsed="false">
      <c r="A209" s="23" t="n">
        <v>205</v>
      </c>
      <c r="B209" s="29" t="n">
        <v>14.652802</v>
      </c>
    </row>
    <row r="210" customFormat="false" ht="15" hidden="false" customHeight="false" outlineLevel="0" collapsed="false">
      <c r="A210" s="23" t="n">
        <v>206</v>
      </c>
      <c r="B210" s="29" t="n">
        <v>14.652802</v>
      </c>
    </row>
    <row r="211" customFormat="false" ht="15" hidden="false" customHeight="false" outlineLevel="0" collapsed="false">
      <c r="A211" s="23" t="n">
        <v>207</v>
      </c>
      <c r="B211" s="29" t="n">
        <v>14.651454</v>
      </c>
    </row>
    <row r="212" customFormat="false" ht="15" hidden="false" customHeight="false" outlineLevel="0" collapsed="false">
      <c r="A212" s="23" t="n">
        <v>208</v>
      </c>
      <c r="B212" s="29" t="n">
        <v>14.649314</v>
      </c>
    </row>
    <row r="213" customFormat="false" ht="15" hidden="false" customHeight="false" outlineLevel="0" collapsed="false">
      <c r="A213" s="23" t="n">
        <v>209</v>
      </c>
      <c r="B213" s="29" t="n">
        <v>14.649314</v>
      </c>
    </row>
    <row r="214" customFormat="false" ht="15" hidden="false" customHeight="false" outlineLevel="0" collapsed="false">
      <c r="A214" s="23" t="n">
        <v>210</v>
      </c>
      <c r="B214" s="29" t="n">
        <v>14.647293</v>
      </c>
    </row>
    <row r="215" customFormat="false" ht="15" hidden="false" customHeight="false" outlineLevel="0" collapsed="false">
      <c r="A215" s="23" t="n">
        <v>211</v>
      </c>
      <c r="B215" s="29" t="n">
        <v>14.647293</v>
      </c>
    </row>
    <row r="216" customFormat="false" ht="15" hidden="false" customHeight="false" outlineLevel="0" collapsed="false">
      <c r="A216" s="23" t="n">
        <v>212</v>
      </c>
      <c r="B216" s="29" t="n">
        <v>14.645956</v>
      </c>
    </row>
    <row r="217" customFormat="false" ht="15" hidden="false" customHeight="false" outlineLevel="0" collapsed="false">
      <c r="A217" s="23" t="n">
        <v>213</v>
      </c>
      <c r="B217" s="29" t="n">
        <v>14.640794</v>
      </c>
    </row>
    <row r="218" customFormat="false" ht="15" hidden="false" customHeight="false" outlineLevel="0" collapsed="false">
      <c r="A218" s="23" t="n">
        <v>214</v>
      </c>
      <c r="B218" s="29" t="n">
        <v>14.640794</v>
      </c>
    </row>
    <row r="219" customFormat="false" ht="15" hidden="false" customHeight="false" outlineLevel="0" collapsed="false">
      <c r="A219" s="23" t="n">
        <v>215</v>
      </c>
      <c r="B219" s="29" t="n">
        <v>14.640794</v>
      </c>
    </row>
    <row r="220" customFormat="false" ht="15" hidden="false" customHeight="false" outlineLevel="0" collapsed="false">
      <c r="A220" s="23" t="n">
        <v>216</v>
      </c>
      <c r="B220" s="29" t="n">
        <v>14.638107</v>
      </c>
    </row>
    <row r="221" customFormat="false" ht="15" hidden="false" customHeight="false" outlineLevel="0" collapsed="false">
      <c r="A221" s="23" t="n">
        <v>217</v>
      </c>
      <c r="B221" s="29" t="n">
        <v>14.638107</v>
      </c>
    </row>
    <row r="222" customFormat="false" ht="15" hidden="false" customHeight="false" outlineLevel="0" collapsed="false">
      <c r="A222" s="23" t="n">
        <v>218</v>
      </c>
      <c r="B222" s="29" t="n">
        <v>14.638107</v>
      </c>
    </row>
    <row r="223" customFormat="false" ht="15" hidden="false" customHeight="false" outlineLevel="0" collapsed="false">
      <c r="A223" s="23" t="n">
        <v>219</v>
      </c>
      <c r="B223" s="29" t="n">
        <v>14.635031</v>
      </c>
    </row>
    <row r="224" customFormat="false" ht="15" hidden="false" customHeight="false" outlineLevel="0" collapsed="false">
      <c r="A224" s="23" t="n">
        <v>220</v>
      </c>
      <c r="B224" s="29" t="n">
        <v>14.633595</v>
      </c>
    </row>
    <row r="225" customFormat="false" ht="15" hidden="false" customHeight="false" outlineLevel="0" collapsed="false">
      <c r="A225" s="23" t="n">
        <v>221</v>
      </c>
      <c r="B225" s="29" t="n">
        <v>14.633068</v>
      </c>
    </row>
    <row r="226" customFormat="false" ht="15" hidden="false" customHeight="false" outlineLevel="0" collapsed="false">
      <c r="A226" s="23" t="n">
        <v>222</v>
      </c>
      <c r="B226" s="29" t="n">
        <v>14.633068</v>
      </c>
    </row>
    <row r="227" customFormat="false" ht="15" hidden="false" customHeight="false" outlineLevel="0" collapsed="false">
      <c r="A227" s="23" t="n">
        <v>223</v>
      </c>
      <c r="B227" s="29" t="n">
        <v>14.633068</v>
      </c>
    </row>
    <row r="228" customFormat="false" ht="15" hidden="false" customHeight="false" outlineLevel="0" collapsed="false">
      <c r="A228" s="23" t="n">
        <v>224</v>
      </c>
      <c r="B228" s="29" t="n">
        <v>14.632875</v>
      </c>
    </row>
    <row r="229" customFormat="false" ht="15" hidden="false" customHeight="false" outlineLevel="0" collapsed="false">
      <c r="A229" s="23" t="n">
        <v>225</v>
      </c>
      <c r="B229" s="29" t="n">
        <v>14.632192</v>
      </c>
    </row>
    <row r="230" customFormat="false" ht="15" hidden="false" customHeight="false" outlineLevel="0" collapsed="false">
      <c r="A230" s="23" t="n">
        <v>226</v>
      </c>
      <c r="B230" s="29" t="n">
        <v>14.630361</v>
      </c>
    </row>
    <row r="231" customFormat="false" ht="15" hidden="false" customHeight="false" outlineLevel="0" collapsed="false">
      <c r="A231" s="23" t="n">
        <v>227</v>
      </c>
      <c r="B231" s="29" t="n">
        <v>14.629403</v>
      </c>
    </row>
    <row r="232" customFormat="false" ht="15" hidden="false" customHeight="false" outlineLevel="0" collapsed="false">
      <c r="A232" s="23" t="n">
        <v>228</v>
      </c>
      <c r="B232" s="29" t="n">
        <v>14.628435</v>
      </c>
    </row>
    <row r="233" customFormat="false" ht="15" hidden="false" customHeight="false" outlineLevel="0" collapsed="false">
      <c r="A233" s="23" t="n">
        <v>229</v>
      </c>
      <c r="B233" s="29" t="n">
        <v>14.628012</v>
      </c>
    </row>
    <row r="234" customFormat="false" ht="15" hidden="false" customHeight="false" outlineLevel="0" collapsed="false">
      <c r="A234" s="23" t="n">
        <v>230</v>
      </c>
      <c r="B234" s="29" t="n">
        <v>14.627864</v>
      </c>
    </row>
    <row r="235" customFormat="false" ht="15" hidden="false" customHeight="false" outlineLevel="0" collapsed="false">
      <c r="A235" s="23" t="n">
        <v>231</v>
      </c>
      <c r="B235" s="29" t="n">
        <v>14.627586</v>
      </c>
    </row>
    <row r="236" customFormat="false" ht="15" hidden="false" customHeight="false" outlineLevel="0" collapsed="false">
      <c r="A236" s="23" t="n">
        <v>232</v>
      </c>
      <c r="B236" s="29" t="n">
        <v>14.62617</v>
      </c>
    </row>
    <row r="237" customFormat="false" ht="15" hidden="false" customHeight="false" outlineLevel="0" collapsed="false">
      <c r="A237" s="23" t="n">
        <v>233</v>
      </c>
      <c r="B237" s="29" t="n">
        <v>14.62617</v>
      </c>
    </row>
    <row r="238" customFormat="false" ht="15" hidden="false" customHeight="false" outlineLevel="0" collapsed="false">
      <c r="A238" s="23" t="n">
        <v>234</v>
      </c>
      <c r="B238" s="29" t="n">
        <v>14.625877</v>
      </c>
    </row>
    <row r="239" customFormat="false" ht="15" hidden="false" customHeight="false" outlineLevel="0" collapsed="false">
      <c r="A239" s="23" t="n">
        <v>235</v>
      </c>
      <c r="B239" s="29" t="n">
        <v>14.625877</v>
      </c>
    </row>
    <row r="240" customFormat="false" ht="15" hidden="false" customHeight="false" outlineLevel="0" collapsed="false">
      <c r="A240" s="23" t="n">
        <v>236</v>
      </c>
      <c r="B240" s="29" t="n">
        <v>14.625819</v>
      </c>
    </row>
    <row r="241" customFormat="false" ht="15" hidden="false" customHeight="false" outlineLevel="0" collapsed="false">
      <c r="A241" s="23" t="n">
        <v>237</v>
      </c>
      <c r="B241" s="29" t="n">
        <v>14.625819</v>
      </c>
    </row>
    <row r="242" customFormat="false" ht="15" hidden="false" customHeight="false" outlineLevel="0" collapsed="false">
      <c r="A242" s="23" t="n">
        <v>238</v>
      </c>
      <c r="B242" s="29" t="n">
        <v>14.625728</v>
      </c>
    </row>
    <row r="243" customFormat="false" ht="15" hidden="false" customHeight="false" outlineLevel="0" collapsed="false">
      <c r="A243" s="23" t="n">
        <v>239</v>
      </c>
      <c r="B243" s="29" t="n">
        <v>14.625728</v>
      </c>
    </row>
    <row r="244" customFormat="false" ht="15" hidden="false" customHeight="false" outlineLevel="0" collapsed="false">
      <c r="A244" s="23" t="n">
        <v>240</v>
      </c>
      <c r="B244" s="29" t="n">
        <v>14.625529</v>
      </c>
    </row>
    <row r="245" customFormat="false" ht="15" hidden="false" customHeight="false" outlineLevel="0" collapsed="false">
      <c r="A245" s="23" t="n">
        <v>241</v>
      </c>
      <c r="B245" s="29" t="n">
        <v>14.625277</v>
      </c>
    </row>
    <row r="246" customFormat="false" ht="15" hidden="false" customHeight="false" outlineLevel="0" collapsed="false">
      <c r="A246" s="23" t="n">
        <v>242</v>
      </c>
      <c r="B246" s="29" t="n">
        <v>14.625031</v>
      </c>
    </row>
    <row r="247" customFormat="false" ht="15" hidden="false" customHeight="false" outlineLevel="0" collapsed="false">
      <c r="A247" s="23" t="n">
        <v>243</v>
      </c>
      <c r="B247" s="29" t="n">
        <v>14.624739</v>
      </c>
    </row>
    <row r="248" customFormat="false" ht="15" hidden="false" customHeight="false" outlineLevel="0" collapsed="false">
      <c r="A248" s="23" t="n">
        <v>244</v>
      </c>
      <c r="B248" s="29" t="n">
        <v>14.62431</v>
      </c>
    </row>
    <row r="249" customFormat="false" ht="15" hidden="false" customHeight="false" outlineLevel="0" collapsed="false">
      <c r="A249" s="23" t="n">
        <v>245</v>
      </c>
      <c r="B249" s="29" t="n">
        <v>14.624057</v>
      </c>
    </row>
    <row r="250" customFormat="false" ht="15" hidden="false" customHeight="false" outlineLevel="0" collapsed="false">
      <c r="A250" s="23" t="n">
        <v>246</v>
      </c>
      <c r="B250" s="29" t="n">
        <v>14.623661</v>
      </c>
    </row>
    <row r="251" customFormat="false" ht="15" hidden="false" customHeight="false" outlineLevel="0" collapsed="false">
      <c r="A251" s="23" t="n">
        <v>247</v>
      </c>
      <c r="B251" s="29" t="n">
        <v>14.622993</v>
      </c>
    </row>
    <row r="252" customFormat="false" ht="15" hidden="false" customHeight="false" outlineLevel="0" collapsed="false">
      <c r="A252" s="23" t="n">
        <v>248</v>
      </c>
      <c r="B252" s="29" t="n">
        <v>14.622993</v>
      </c>
    </row>
    <row r="253" customFormat="false" ht="15" hidden="false" customHeight="false" outlineLevel="0" collapsed="false">
      <c r="A253" s="23" t="n">
        <v>249</v>
      </c>
      <c r="B253" s="29" t="n">
        <v>14.622837</v>
      </c>
    </row>
    <row r="254" customFormat="false" ht="15" hidden="false" customHeight="false" outlineLevel="0" collapsed="false">
      <c r="A254" s="23" t="n">
        <v>250</v>
      </c>
      <c r="B254" s="29" t="n">
        <v>14.622668</v>
      </c>
    </row>
    <row r="255" customFormat="false" ht="15" hidden="false" customHeight="false" outlineLevel="0" collapsed="false">
      <c r="A255" s="23" t="n">
        <v>251</v>
      </c>
      <c r="B255" s="29" t="n">
        <v>14.622668</v>
      </c>
    </row>
    <row r="256" customFormat="false" ht="15" hidden="false" customHeight="false" outlineLevel="0" collapsed="false">
      <c r="A256" s="23" t="n">
        <v>252</v>
      </c>
      <c r="B256" s="29" t="n">
        <v>14.622611</v>
      </c>
    </row>
    <row r="257" customFormat="false" ht="15" hidden="false" customHeight="false" outlineLevel="0" collapsed="false">
      <c r="A257" s="23" t="n">
        <v>253</v>
      </c>
      <c r="B257" s="29" t="n">
        <v>14.622598</v>
      </c>
    </row>
    <row r="258" customFormat="false" ht="15" hidden="false" customHeight="false" outlineLevel="0" collapsed="false">
      <c r="A258" s="23" t="n">
        <v>254</v>
      </c>
      <c r="B258" s="29" t="n">
        <v>14.622568</v>
      </c>
    </row>
    <row r="259" customFormat="false" ht="15" hidden="false" customHeight="false" outlineLevel="0" collapsed="false">
      <c r="A259" s="23" t="n">
        <v>255</v>
      </c>
      <c r="B259" s="29" t="n">
        <v>14.622437</v>
      </c>
    </row>
    <row r="260" customFormat="false" ht="15" hidden="false" customHeight="false" outlineLevel="0" collapsed="false">
      <c r="A260" s="23" t="n">
        <v>256</v>
      </c>
      <c r="B260" s="29" t="n">
        <v>14.622396</v>
      </c>
    </row>
    <row r="261" customFormat="false" ht="15" hidden="false" customHeight="false" outlineLevel="0" collapsed="false">
      <c r="A261" s="23" t="n">
        <v>257</v>
      </c>
      <c r="B261" s="29" t="n">
        <v>14.62225</v>
      </c>
    </row>
    <row r="262" customFormat="false" ht="15" hidden="false" customHeight="false" outlineLevel="0" collapsed="false">
      <c r="A262" s="23" t="n">
        <v>258</v>
      </c>
      <c r="B262" s="29" t="n">
        <v>14.62225</v>
      </c>
    </row>
    <row r="263" customFormat="false" ht="15" hidden="false" customHeight="false" outlineLevel="0" collapsed="false">
      <c r="A263" s="23" t="n">
        <v>259</v>
      </c>
      <c r="B263" s="29" t="n">
        <v>14.622173</v>
      </c>
    </row>
    <row r="264" customFormat="false" ht="15" hidden="false" customHeight="false" outlineLevel="0" collapsed="false">
      <c r="A264" s="23" t="n">
        <v>260</v>
      </c>
      <c r="B264" s="29" t="n">
        <v>14.622149</v>
      </c>
    </row>
    <row r="265" customFormat="false" ht="15" hidden="false" customHeight="false" outlineLevel="0" collapsed="false">
      <c r="A265" s="23" t="n">
        <v>261</v>
      </c>
      <c r="B265" s="29" t="n">
        <v>14.622149</v>
      </c>
    </row>
    <row r="266" customFormat="false" ht="15" hidden="false" customHeight="false" outlineLevel="0" collapsed="false">
      <c r="A266" s="23" t="n">
        <v>262</v>
      </c>
      <c r="B266" s="29" t="n">
        <v>14.621946</v>
      </c>
    </row>
    <row r="267" customFormat="false" ht="15" hidden="false" customHeight="false" outlineLevel="0" collapsed="false">
      <c r="A267" s="23" t="n">
        <v>263</v>
      </c>
      <c r="B267" s="29" t="n">
        <v>14.621946</v>
      </c>
    </row>
    <row r="268" customFormat="false" ht="15" hidden="false" customHeight="false" outlineLevel="0" collapsed="false">
      <c r="A268" s="23" t="n">
        <v>264</v>
      </c>
      <c r="B268" s="29" t="n">
        <v>14.621946</v>
      </c>
    </row>
    <row r="269" customFormat="false" ht="15" hidden="false" customHeight="false" outlineLevel="0" collapsed="false">
      <c r="A269" s="23" t="n">
        <v>265</v>
      </c>
      <c r="B269" s="29" t="n">
        <v>14.621861</v>
      </c>
    </row>
    <row r="270" customFormat="false" ht="15" hidden="false" customHeight="false" outlineLevel="0" collapsed="false">
      <c r="A270" s="23" t="n">
        <v>266</v>
      </c>
      <c r="B270" s="29" t="n">
        <v>14.621771</v>
      </c>
    </row>
    <row r="271" customFormat="false" ht="15" hidden="false" customHeight="false" outlineLevel="0" collapsed="false">
      <c r="A271" s="23" t="n">
        <v>267</v>
      </c>
      <c r="B271" s="29" t="n">
        <v>14.621697</v>
      </c>
    </row>
    <row r="272" customFormat="false" ht="15" hidden="false" customHeight="false" outlineLevel="0" collapsed="false">
      <c r="A272" s="23" t="n">
        <v>268</v>
      </c>
      <c r="B272" s="29" t="n">
        <v>14.621684</v>
      </c>
    </row>
    <row r="273" customFormat="false" ht="15" hidden="false" customHeight="false" outlineLevel="0" collapsed="false">
      <c r="A273" s="23" t="n">
        <v>269</v>
      </c>
      <c r="B273" s="29" t="n">
        <v>14.621682</v>
      </c>
    </row>
    <row r="274" customFormat="false" ht="15" hidden="false" customHeight="false" outlineLevel="0" collapsed="false">
      <c r="A274" s="23" t="n">
        <v>270</v>
      </c>
      <c r="B274" s="29" t="n">
        <v>14.62163</v>
      </c>
    </row>
    <row r="275" customFormat="false" ht="15" hidden="false" customHeight="false" outlineLevel="0" collapsed="false">
      <c r="A275" s="23" t="n">
        <v>271</v>
      </c>
      <c r="B275" s="29" t="n">
        <v>14.621575</v>
      </c>
    </row>
    <row r="276" customFormat="false" ht="15" hidden="false" customHeight="false" outlineLevel="0" collapsed="false">
      <c r="A276" s="23" t="n">
        <v>272</v>
      </c>
      <c r="B276" s="29" t="n">
        <v>14.62155</v>
      </c>
    </row>
    <row r="277" customFormat="false" ht="15" hidden="false" customHeight="false" outlineLevel="0" collapsed="false">
      <c r="A277" s="23" t="n">
        <v>273</v>
      </c>
      <c r="B277" s="29" t="n">
        <v>14.621501</v>
      </c>
    </row>
    <row r="278" customFormat="false" ht="15" hidden="false" customHeight="false" outlineLevel="0" collapsed="false">
      <c r="A278" s="23" t="n">
        <v>274</v>
      </c>
      <c r="B278" s="29" t="n">
        <v>14.621501</v>
      </c>
    </row>
    <row r="279" customFormat="false" ht="15" hidden="false" customHeight="false" outlineLevel="0" collapsed="false">
      <c r="A279" s="23" t="n">
        <v>275</v>
      </c>
      <c r="B279" s="29" t="n">
        <v>14.6215</v>
      </c>
    </row>
    <row r="280" customFormat="false" ht="15" hidden="false" customHeight="false" outlineLevel="0" collapsed="false">
      <c r="A280" s="23" t="n">
        <v>276</v>
      </c>
      <c r="B280" s="29" t="n">
        <v>14.621496</v>
      </c>
    </row>
    <row r="281" customFormat="false" ht="15" hidden="false" customHeight="false" outlineLevel="0" collapsed="false">
      <c r="A281" s="23" t="n">
        <v>277</v>
      </c>
      <c r="B281" s="29" t="n">
        <v>14.621491</v>
      </c>
    </row>
    <row r="282" customFormat="false" ht="15" hidden="false" customHeight="false" outlineLevel="0" collapsed="false">
      <c r="A282" s="23" t="n">
        <v>278</v>
      </c>
      <c r="B282" s="29" t="n">
        <v>14.621478</v>
      </c>
    </row>
    <row r="283" customFormat="false" ht="15" hidden="false" customHeight="false" outlineLevel="0" collapsed="false">
      <c r="A283" s="23" t="n">
        <v>279</v>
      </c>
      <c r="B283" s="29" t="n">
        <v>14.621466</v>
      </c>
    </row>
    <row r="284" customFormat="false" ht="15" hidden="false" customHeight="false" outlineLevel="0" collapsed="false">
      <c r="A284" s="23" t="n">
        <v>280</v>
      </c>
      <c r="B284" s="29" t="n">
        <v>14.621448</v>
      </c>
    </row>
    <row r="285" customFormat="false" ht="15" hidden="false" customHeight="false" outlineLevel="0" collapsed="false">
      <c r="A285" s="23" t="n">
        <v>281</v>
      </c>
      <c r="B285" s="29" t="n">
        <v>14.621429</v>
      </c>
    </row>
    <row r="286" customFormat="false" ht="15" hidden="false" customHeight="false" outlineLevel="0" collapsed="false">
      <c r="A286" s="23" t="n">
        <v>282</v>
      </c>
      <c r="B286" s="29" t="n">
        <v>14.621427</v>
      </c>
    </row>
    <row r="287" customFormat="false" ht="15" hidden="false" customHeight="false" outlineLevel="0" collapsed="false">
      <c r="A287" s="23" t="n">
        <v>283</v>
      </c>
      <c r="B287" s="29" t="n">
        <v>14.621408</v>
      </c>
    </row>
    <row r="288" customFormat="false" ht="15" hidden="false" customHeight="false" outlineLevel="0" collapsed="false">
      <c r="A288" s="23" t="n">
        <v>284</v>
      </c>
      <c r="B288" s="29" t="n">
        <v>14.621408</v>
      </c>
    </row>
    <row r="289" customFormat="false" ht="15" hidden="false" customHeight="false" outlineLevel="0" collapsed="false">
      <c r="A289" s="23" t="n">
        <v>285</v>
      </c>
      <c r="B289" s="29" t="n">
        <v>14.621406</v>
      </c>
    </row>
    <row r="290" customFormat="false" ht="15" hidden="false" customHeight="false" outlineLevel="0" collapsed="false">
      <c r="A290" s="23" t="n">
        <v>286</v>
      </c>
      <c r="B290" s="29" t="n">
        <v>14.621398</v>
      </c>
    </row>
    <row r="291" customFormat="false" ht="15" hidden="false" customHeight="false" outlineLevel="0" collapsed="false">
      <c r="A291" s="23" t="n">
        <v>287</v>
      </c>
      <c r="B291" s="29" t="n">
        <v>14.621386</v>
      </c>
    </row>
    <row r="292" customFormat="false" ht="15" hidden="false" customHeight="false" outlineLevel="0" collapsed="false">
      <c r="A292" s="23" t="n">
        <v>288</v>
      </c>
      <c r="B292" s="29" t="n">
        <v>14.621382</v>
      </c>
    </row>
    <row r="293" customFormat="false" ht="15" hidden="false" customHeight="false" outlineLevel="0" collapsed="false">
      <c r="A293" s="23" t="n">
        <v>289</v>
      </c>
      <c r="B293" s="29" t="n">
        <v>14.621382</v>
      </c>
    </row>
    <row r="294" customFormat="false" ht="15" hidden="false" customHeight="false" outlineLevel="0" collapsed="false">
      <c r="A294" s="23" t="n">
        <v>290</v>
      </c>
      <c r="B294" s="29" t="n">
        <v>14.621382</v>
      </c>
    </row>
    <row r="295" customFormat="false" ht="15" hidden="false" customHeight="false" outlineLevel="0" collapsed="false">
      <c r="A295" s="23" t="n">
        <v>291</v>
      </c>
      <c r="B295" s="29" t="n">
        <v>14.62138</v>
      </c>
    </row>
    <row r="296" customFormat="false" ht="15" hidden="false" customHeight="false" outlineLevel="0" collapsed="false">
      <c r="A296" s="23" t="n">
        <v>292</v>
      </c>
      <c r="B296" s="29" t="n">
        <v>14.62138</v>
      </c>
    </row>
    <row r="297" customFormat="false" ht="15" hidden="false" customHeight="false" outlineLevel="0" collapsed="false">
      <c r="A297" s="23" t="n">
        <v>293</v>
      </c>
      <c r="B297" s="29" t="n">
        <v>14.62138</v>
      </c>
    </row>
    <row r="298" customFormat="false" ht="15" hidden="false" customHeight="false" outlineLevel="0" collapsed="false">
      <c r="A298" s="23" t="n">
        <v>294</v>
      </c>
      <c r="B298" s="29" t="n">
        <v>14.62138</v>
      </c>
    </row>
    <row r="299" customFormat="false" ht="15" hidden="false" customHeight="false" outlineLevel="0" collapsed="false">
      <c r="A299" s="23" t="n">
        <v>295</v>
      </c>
      <c r="B299" s="29" t="n">
        <v>14.62138</v>
      </c>
    </row>
    <row r="300" customFormat="false" ht="15" hidden="false" customHeight="false" outlineLevel="0" collapsed="false">
      <c r="A300" s="23" t="n">
        <v>296</v>
      </c>
      <c r="B300" s="29" t="n">
        <v>14.621376</v>
      </c>
    </row>
    <row r="301" customFormat="false" ht="15" hidden="false" customHeight="false" outlineLevel="0" collapsed="false">
      <c r="A301" s="23" t="n">
        <v>297</v>
      </c>
      <c r="B301" s="29" t="n">
        <v>14.621374</v>
      </c>
    </row>
    <row r="302" customFormat="false" ht="15" hidden="false" customHeight="false" outlineLevel="0" collapsed="false">
      <c r="A302" s="23" t="n">
        <v>298</v>
      </c>
      <c r="B302" s="29" t="n">
        <v>14.62137</v>
      </c>
    </row>
    <row r="303" customFormat="false" ht="15" hidden="false" customHeight="false" outlineLevel="0" collapsed="false">
      <c r="A303" s="23" t="n">
        <v>299</v>
      </c>
      <c r="B303" s="29" t="n">
        <v>14.621366</v>
      </c>
    </row>
    <row r="304" customFormat="false" ht="15" hidden="false" customHeight="false" outlineLevel="0" collapsed="false">
      <c r="A304" s="23" t="n">
        <v>300</v>
      </c>
      <c r="B304" s="29" t="n">
        <v>14.621363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3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3" t="s">
        <v>127</v>
      </c>
      <c r="B4" s="3" t="s">
        <v>128</v>
      </c>
      <c r="C4" s="3" t="s">
        <v>129</v>
      </c>
      <c r="D4" s="3" t="s">
        <v>130</v>
      </c>
    </row>
    <row r="5" customFormat="false" ht="15" hidden="false" customHeight="false" outlineLevel="0" collapsed="false">
      <c r="A5" s="23" t="n">
        <v>1</v>
      </c>
      <c r="B5" s="37" t="s">
        <v>131</v>
      </c>
      <c r="C5" s="37" t="s">
        <v>132</v>
      </c>
      <c r="D5" s="38" t="s">
        <v>133</v>
      </c>
    </row>
    <row r="6" customFormat="false" ht="15" hidden="false" customHeight="false" outlineLevel="0" collapsed="false">
      <c r="A6" s="23" t="n">
        <v>2</v>
      </c>
      <c r="B6" s="37" t="s">
        <v>134</v>
      </c>
      <c r="C6" s="37" t="s">
        <v>135</v>
      </c>
      <c r="D6" s="38" t="s">
        <v>133</v>
      </c>
    </row>
    <row r="7" customFormat="false" ht="15" hidden="false" customHeight="false" outlineLevel="0" collapsed="false">
      <c r="A7" s="23" t="n">
        <v>3</v>
      </c>
      <c r="B7" s="37" t="s">
        <v>136</v>
      </c>
      <c r="C7" s="37" t="s">
        <v>137</v>
      </c>
      <c r="D7" s="38" t="s">
        <v>133</v>
      </c>
    </row>
    <row r="8" customFormat="false" ht="15" hidden="false" customHeight="false" outlineLevel="0" collapsed="false">
      <c r="A8" s="23" t="n">
        <v>4</v>
      </c>
      <c r="B8" s="37" t="s">
        <v>138</v>
      </c>
      <c r="C8" s="37" t="s">
        <v>139</v>
      </c>
      <c r="D8" s="38" t="s">
        <v>133</v>
      </c>
    </row>
    <row r="9" customFormat="false" ht="15" hidden="false" customHeight="false" outlineLevel="0" collapsed="false">
      <c r="A9" s="23" t="n">
        <v>5</v>
      </c>
      <c r="B9" s="37" t="s">
        <v>140</v>
      </c>
      <c r="C9" s="37" t="s">
        <v>141</v>
      </c>
      <c r="D9" s="38" t="s">
        <v>133</v>
      </c>
    </row>
    <row r="10" customFormat="false" ht="15" hidden="false" customHeight="false" outlineLevel="0" collapsed="false">
      <c r="A10" s="23" t="n">
        <v>6</v>
      </c>
      <c r="B10" s="37" t="s">
        <v>142</v>
      </c>
      <c r="C10" s="37" t="s">
        <v>143</v>
      </c>
      <c r="D10" s="38" t="s">
        <v>133</v>
      </c>
    </row>
    <row r="11" customFormat="false" ht="15" hidden="false" customHeight="false" outlineLevel="0" collapsed="false">
      <c r="A11" s="23" t="n">
        <v>7</v>
      </c>
      <c r="B11" s="37" t="s">
        <v>144</v>
      </c>
      <c r="C11" s="37" t="s">
        <v>145</v>
      </c>
      <c r="D11" s="38" t="s">
        <v>133</v>
      </c>
    </row>
    <row r="13" customFormat="false" ht="15" hidden="false" customHeight="false" outlineLevel="0" collapsed="false">
      <c r="A13" s="31" t="s">
        <v>146</v>
      </c>
      <c r="D13" s="39" t="n">
        <f aca="false">COUNTIF(D5:D11,"Done")</f>
        <v>0</v>
      </c>
    </row>
    <row r="14" customFormat="false" ht="15" hidden="false" customHeight="false" outlineLevel="0" collapsed="false">
      <c r="A14" s="31" t="s">
        <v>147</v>
      </c>
      <c r="D14" s="34" t="str">
        <f aca="false">IF(D13&gt;=5,"YES","NOT YET")</f>
        <v>NOT YET</v>
      </c>
    </row>
  </sheetData>
  <dataValidations count="1">
    <dataValidation allowBlank="false" errorStyle="stop" operator="between" showDropDown="false" showErrorMessage="false" showInputMessage="false" sqref="D5:D11" type="list">
      <formula1>"Done,Pending"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15" hidden="false" customHeight="false" outlineLevel="0" collapsed="false">
      <c r="A4" s="3" t="s">
        <v>150</v>
      </c>
      <c r="B4" s="3" t="s">
        <v>130</v>
      </c>
      <c r="C4" s="3" t="s">
        <v>151</v>
      </c>
    </row>
    <row r="5" customFormat="false" ht="15" hidden="false" customHeight="false" outlineLevel="0" collapsed="false">
      <c r="A5" s="37" t="s">
        <v>152</v>
      </c>
      <c r="B5" s="38" t="s">
        <v>153</v>
      </c>
      <c r="C5" s="37" t="s">
        <v>154</v>
      </c>
    </row>
    <row r="6" customFormat="false" ht="15" hidden="false" customHeight="false" outlineLevel="0" collapsed="false">
      <c r="A6" s="37" t="s">
        <v>155</v>
      </c>
      <c r="B6" s="38" t="s">
        <v>133</v>
      </c>
      <c r="C6" s="37" t="s">
        <v>156</v>
      </c>
    </row>
    <row r="7" customFormat="false" ht="15" hidden="false" customHeight="false" outlineLevel="0" collapsed="false">
      <c r="A7" s="37" t="s">
        <v>157</v>
      </c>
      <c r="B7" s="38" t="s">
        <v>153</v>
      </c>
      <c r="C7" s="37" t="s">
        <v>158</v>
      </c>
    </row>
    <row r="8" customFormat="false" ht="15" hidden="false" customHeight="false" outlineLevel="0" collapsed="false">
      <c r="A8" s="37" t="s">
        <v>159</v>
      </c>
      <c r="B8" s="38" t="s">
        <v>153</v>
      </c>
      <c r="C8" s="37" t="s">
        <v>160</v>
      </c>
    </row>
    <row r="9" customFormat="false" ht="15" hidden="false" customHeight="false" outlineLevel="0" collapsed="false">
      <c r="A9" s="37" t="s">
        <v>161</v>
      </c>
      <c r="B9" s="38" t="s">
        <v>153</v>
      </c>
      <c r="C9" s="37" t="s">
        <v>162</v>
      </c>
    </row>
    <row r="10" customFormat="false" ht="15" hidden="false" customHeight="false" outlineLevel="0" collapsed="false">
      <c r="A10" s="37" t="s">
        <v>163</v>
      </c>
      <c r="B10" s="38" t="s">
        <v>153</v>
      </c>
      <c r="C10" s="37" t="s">
        <v>164</v>
      </c>
    </row>
    <row r="11" customFormat="false" ht="15" hidden="false" customHeight="false" outlineLevel="0" collapsed="false">
      <c r="A11" s="37" t="s">
        <v>165</v>
      </c>
      <c r="B11" s="38" t="s">
        <v>133</v>
      </c>
      <c r="C11" s="37" t="s">
        <v>166</v>
      </c>
    </row>
    <row r="12" customFormat="false" ht="15" hidden="false" customHeight="false" outlineLevel="0" collapsed="false">
      <c r="A12" s="37" t="s">
        <v>167</v>
      </c>
      <c r="B12" s="38" t="s">
        <v>153</v>
      </c>
      <c r="C12" s="37" t="s">
        <v>168</v>
      </c>
    </row>
    <row r="13" customFormat="false" ht="15" hidden="false" customHeight="false" outlineLevel="0" collapsed="false">
      <c r="A13" s="37" t="s">
        <v>169</v>
      </c>
      <c r="B13" s="38" t="s">
        <v>133</v>
      </c>
      <c r="C13" s="37" t="s">
        <v>170</v>
      </c>
    </row>
    <row r="14" customFormat="false" ht="15" hidden="false" customHeight="false" outlineLevel="0" collapsed="false">
      <c r="A14" s="37" t="s">
        <v>171</v>
      </c>
      <c r="B14" s="38" t="s">
        <v>133</v>
      </c>
      <c r="C14" s="37" t="s">
        <v>172</v>
      </c>
    </row>
    <row r="15" customFormat="false" ht="15" hidden="false" customHeight="false" outlineLevel="0" collapsed="false">
      <c r="A15" s="37" t="s">
        <v>173</v>
      </c>
      <c r="B15" s="38" t="s">
        <v>133</v>
      </c>
      <c r="C15" s="37" t="s">
        <v>174</v>
      </c>
    </row>
    <row r="16" customFormat="false" ht="15" hidden="false" customHeight="false" outlineLevel="0" collapsed="false">
      <c r="A16" s="37" t="s">
        <v>175</v>
      </c>
      <c r="B16" s="38" t="s">
        <v>133</v>
      </c>
      <c r="C16" s="37" t="s">
        <v>176</v>
      </c>
    </row>
    <row r="18" customFormat="false" ht="15" hidden="false" customHeight="false" outlineLevel="0" collapsed="false">
      <c r="A18" s="31" t="s">
        <v>177</v>
      </c>
      <c r="B18" s="34" t="str">
        <f aca="false">COUNTIF(B5:B16,"Done")&amp;" / "&amp;COUNTA(B5:B16)</f>
        <v>6 / 12</v>
      </c>
    </row>
    <row r="19" customFormat="false" ht="15" hidden="false" customHeight="false" outlineLevel="0" collapsed="false">
      <c r="A19" s="31" t="s">
        <v>178</v>
      </c>
      <c r="B19" s="40" t="n">
        <f aca="false">COUNTIF(B5:B16,"Done")/COUNTA(B5:B16)</f>
        <v>0.5</v>
      </c>
    </row>
  </sheetData>
  <dataValidations count="1">
    <dataValidation allowBlank="false" errorStyle="stop" operator="between" showDropDown="false" showErrorMessage="false" showInputMessage="false" sqref="B5:B16" type="list">
      <formula1>"Done,Pending"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179</v>
      </c>
    </row>
    <row r="3" customFormat="false" ht="15" hidden="false" customHeight="false" outlineLevel="0" collapsed="false">
      <c r="A3" s="3" t="s">
        <v>180</v>
      </c>
      <c r="B3" s="3" t="s">
        <v>181</v>
      </c>
      <c r="C3" s="3" t="s">
        <v>182</v>
      </c>
    </row>
    <row r="4" customFormat="false" ht="15" hidden="false" customHeight="false" outlineLevel="0" collapsed="false">
      <c r="A4" s="37" t="s">
        <v>183</v>
      </c>
      <c r="B4" s="23" t="s">
        <v>184</v>
      </c>
      <c r="C4" s="37" t="s">
        <v>185</v>
      </c>
    </row>
    <row r="5" customFormat="false" ht="15" hidden="false" customHeight="false" outlineLevel="0" collapsed="false">
      <c r="A5" s="37" t="s">
        <v>186</v>
      </c>
      <c r="B5" s="23" t="s">
        <v>187</v>
      </c>
      <c r="C5" s="37" t="s">
        <v>188</v>
      </c>
    </row>
    <row r="6" customFormat="false" ht="15" hidden="false" customHeight="false" outlineLevel="0" collapsed="false">
      <c r="A6" s="37" t="s">
        <v>189</v>
      </c>
      <c r="B6" s="23" t="s">
        <v>187</v>
      </c>
      <c r="C6" s="37" t="s">
        <v>190</v>
      </c>
    </row>
    <row r="7" customFormat="false" ht="15" hidden="false" customHeight="false" outlineLevel="0" collapsed="false">
      <c r="A7" s="37" t="s">
        <v>191</v>
      </c>
      <c r="B7" s="23" t="s">
        <v>192</v>
      </c>
      <c r="C7" s="37" t="s">
        <v>193</v>
      </c>
    </row>
    <row r="8" customFormat="false" ht="15" hidden="false" customHeight="false" outlineLevel="0" collapsed="false">
      <c r="A8" s="37" t="s">
        <v>194</v>
      </c>
      <c r="B8" s="23" t="s">
        <v>187</v>
      </c>
      <c r="C8" s="37" t="s">
        <v>195</v>
      </c>
    </row>
    <row r="9" customFormat="false" ht="15" hidden="false" customHeight="false" outlineLevel="0" collapsed="false">
      <c r="A9" s="37" t="s">
        <v>196</v>
      </c>
      <c r="B9" s="23" t="s">
        <v>187</v>
      </c>
      <c r="C9" s="37" t="s">
        <v>197</v>
      </c>
    </row>
    <row r="10" customFormat="false" ht="15" hidden="false" customHeight="false" outlineLevel="0" collapsed="false">
      <c r="A10" s="37" t="s">
        <v>198</v>
      </c>
      <c r="B10" s="23" t="s">
        <v>187</v>
      </c>
      <c r="C10" s="37" t="s">
        <v>199</v>
      </c>
    </row>
    <row r="11" customFormat="false" ht="15" hidden="false" customHeight="false" outlineLevel="0" collapsed="false">
      <c r="A11" s="37" t="s">
        <v>200</v>
      </c>
      <c r="B11" s="23" t="s">
        <v>187</v>
      </c>
      <c r="C11" s="37" t="s">
        <v>201</v>
      </c>
    </row>
    <row r="12" customFormat="false" ht="15" hidden="false" customHeight="false" outlineLevel="0" collapsed="false">
      <c r="A12" s="37" t="s">
        <v>202</v>
      </c>
      <c r="B12" s="23" t="s">
        <v>187</v>
      </c>
      <c r="C12" s="37" t="s">
        <v>203</v>
      </c>
    </row>
    <row r="13" customFormat="false" ht="15" hidden="false" customHeight="false" outlineLevel="0" collapsed="false">
      <c r="A13" s="37" t="s">
        <v>204</v>
      </c>
      <c r="B13" s="23" t="s">
        <v>192</v>
      </c>
      <c r="C13" s="37" t="s">
        <v>205</v>
      </c>
    </row>
    <row r="14" customFormat="false" ht="15" hidden="false" customHeight="false" outlineLevel="0" collapsed="false">
      <c r="A14" s="37" t="s">
        <v>206</v>
      </c>
      <c r="B14" s="23" t="s">
        <v>192</v>
      </c>
      <c r="C14" s="37" t="s">
        <v>207</v>
      </c>
    </row>
    <row r="15" customFormat="false" ht="15" hidden="false" customHeight="false" outlineLevel="0" collapsed="false">
      <c r="A15" s="37" t="s">
        <v>208</v>
      </c>
      <c r="B15" s="23" t="s">
        <v>187</v>
      </c>
      <c r="C15" s="37" t="s">
        <v>209</v>
      </c>
    </row>
    <row r="16" customFormat="false" ht="15" hidden="false" customHeight="false" outlineLevel="0" collapsed="false">
      <c r="A16" s="37" t="s">
        <v>210</v>
      </c>
      <c r="B16" s="23" t="s">
        <v>187</v>
      </c>
      <c r="C16" s="37" t="s">
        <v>211</v>
      </c>
    </row>
    <row r="17" customFormat="false" ht="15" hidden="false" customHeight="false" outlineLevel="0" collapsed="false">
      <c r="A17" s="37" t="s">
        <v>212</v>
      </c>
      <c r="B17" s="23" t="s">
        <v>184</v>
      </c>
      <c r="C17" s="37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2026-10-05T15:57:52Z</dcterms:created>
  <dc:creator>openpyxl</dc:creator>
  <dc:description/>
  <dc:language>en-US</dc:language>
  <cp:lastModifiedBy/>
  <dcterms:modified xsi:type="dcterms:W3CDTF">2026-10-05T15:57:54Z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